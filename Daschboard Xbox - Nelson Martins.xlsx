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-Estudos\Bootcamp_Santander\5_SQL\dashboard xbox\"/>
    </mc:Choice>
  </mc:AlternateContent>
  <xr:revisionPtr revIDLastSave="0" documentId="8_{41AC1A6B-530F-48F8-AB52-4B6287AD7FD1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Month">#N/A</definedName>
    <definedName name="SegmentaçãodeDados_Plan">#N/A</definedName>
    <definedName name="SegmentaçãodeDados_Subscription_Type">#N/A</definedName>
  </definedNames>
  <calcPr calcId="191029"/>
  <pivotCaches>
    <pivotCache cacheId="1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F72" i="3"/>
  <c r="F71" i="3"/>
  <c r="F23" i="3"/>
  <c r="F33" i="3"/>
  <c r="F39" i="3"/>
  <c r="F40" i="3"/>
  <c r="F38" i="3"/>
</calcChain>
</file>

<file path=xl/sharedStrings.xml><?xml version="1.0" encoding="utf-8"?>
<sst xmlns="http://schemas.openxmlformats.org/spreadsheetml/2006/main" count="2048" uniqueCount="334">
  <si>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</si>
  <si>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</si>
  <si>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</si>
  <si>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</si>
  <si>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</si>
  <si>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</si>
  <si>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</si>
  <si>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</si>
  <si>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</si>
  <si>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</si>
  <si>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</si>
  <si>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</si>
  <si>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</si>
  <si>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</si>
  <si>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</si>
  <si>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</si>
  <si>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</si>
  <si>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</si>
  <si>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</si>
  <si>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</si>
  <si>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</si>
  <si>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</si>
  <si>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</si>
  <si>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</si>
  <si>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</si>
  <si>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</si>
  <si>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</si>
  <si>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</si>
  <si>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</si>
  <si>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</si>
  <si>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</si>
  <si>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</si>
  <si>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</si>
  <si>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</si>
  <si>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</si>
  <si>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</si>
  <si>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</si>
  <si>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</si>
  <si>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</si>
  <si>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</si>
  <si>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</si>
  <si>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</si>
  <si>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</si>
  <si>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</si>
  <si>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</si>
  <si>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</si>
  <si>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</si>
  <si>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</si>
  <si>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</si>
  <si>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</si>
  <si>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</si>
  <si>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</si>
  <si>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</si>
  <si>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</si>
  <si>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</si>
  <si>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</si>
  <si>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</si>
  <si>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</si>
  <si>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</si>
  <si>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</si>
  <si>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</si>
  <si>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</si>
  <si>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</si>
  <si>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</si>
  <si>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</si>
  <si>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</si>
  <si>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</si>
  <si>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</si>
  <si>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</si>
  <si>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</si>
  <si>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</si>
  <si>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</si>
  <si>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</si>
  <si>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</si>
  <si>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</si>
  <si>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</si>
  <si>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</si>
  <si>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</si>
  <si>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</si>
  <si>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</si>
  <si>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</si>
  <si>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</si>
  <si>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</si>
  <si>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</si>
  <si>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</si>
  <si>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</si>
  <si>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</si>
  <si>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</si>
  <si>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</si>
  <si>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</si>
  <si>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</si>
  <si>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</si>
  <si>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</si>
  <si>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</si>
  <si>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</si>
  <si>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</si>
  <si>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</si>
  <si>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</si>
  <si>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</si>
  <si>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</si>
  <si>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</si>
  <si>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</si>
  <si>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</si>
  <si>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</si>
  <si>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</si>
  <si>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</si>
  <si>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</si>
  <si>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</si>
  <si>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</si>
  <si>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</si>
  <si>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</si>
  <si>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</si>
  <si>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</si>
  <si>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</si>
  <si>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</si>
  <si>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</si>
  <si>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</si>
  <si>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</si>
  <si>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</si>
  <si>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</si>
  <si>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</si>
  <si>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</si>
  <si>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</si>
  <si>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</si>
  <si>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</si>
  <si>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</si>
  <si>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</si>
  <si>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</si>
  <si>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</si>
  <si>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</si>
  <si>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</si>
  <si>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</si>
  <si>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</si>
  <si>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</si>
  <si>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</si>
  <si>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</si>
  <si>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</si>
  <si>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</si>
  <si>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</si>
  <si>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</si>
  <si>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</si>
  <si>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</si>
  <si>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</si>
  <si>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</si>
  <si>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</si>
  <si>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</si>
  <si>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</si>
  <si>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</si>
  <si>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</si>
  <si>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</si>
  <si>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</si>
  <si>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</si>
  <si>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</si>
  <si>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</si>
  <si>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</si>
  <si>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</si>
  <si>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</si>
  <si>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</si>
  <si>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</si>
  <si>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</si>
  <si>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</si>
  <si>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</si>
  <si>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</si>
  <si>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</si>
  <si>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</si>
  <si>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</si>
  <si>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</si>
  <si>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</si>
  <si>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</si>
  <si>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</si>
  <si>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</si>
  <si>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</si>
  <si>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</si>
  <si>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</si>
  <si>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</si>
  <si>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</si>
  <si>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</si>
  <si>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</si>
  <si>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</si>
  <si>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</si>
  <si>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</si>
  <si>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</si>
  <si>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</si>
  <si>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</si>
  <si>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</si>
  <si>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</si>
  <si>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</si>
  <si>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</si>
  <si>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</si>
  <si>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</si>
  <si>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</si>
  <si>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</si>
  <si>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</si>
  <si>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</si>
  <si>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</si>
  <si>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</si>
  <si>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</si>
  <si>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</si>
  <si>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</si>
  <si>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</si>
  <si>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</si>
  <si>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</si>
  <si>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</si>
  <si>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</si>
  <si>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</si>
  <si>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</si>
  <si>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</si>
  <si>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</si>
  <si>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</si>
  <si>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</si>
  <si>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</si>
  <si>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</si>
  <si>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</si>
  <si>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</si>
  <si>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</si>
  <si>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</si>
  <si>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</si>
  <si>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</si>
  <si>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</si>
  <si>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</si>
  <si>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</si>
  <si>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</si>
  <si>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</si>
  <si>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</si>
  <si>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</si>
  <si>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</si>
  <si>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</si>
  <si>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</si>
  <si>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</si>
  <si>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</si>
  <si>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</si>
  <si>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</si>
  <si>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</si>
  <si>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</si>
  <si>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</si>
  <si>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</si>
  <si>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</si>
  <si>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</si>
  <si>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</si>
  <si>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</si>
  <si>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</si>
  <si>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</si>
  <si>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</si>
  <si>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</si>
  <si>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</si>
  <si>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</si>
  <si>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</si>
  <si>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</si>
  <si>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</si>
  <si>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</si>
  <si>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</si>
  <si>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</si>
  <si>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</si>
  <si>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</si>
  <si>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</si>
  <si>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</si>
  <si>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</si>
  <si>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</si>
  <si>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</si>
  <si>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</si>
  <si>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</si>
  <si>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</si>
  <si>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</si>
  <si>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</si>
  <si>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</si>
  <si>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</si>
  <si>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</si>
  <si>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</si>
  <si>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</si>
  <si>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</si>
  <si>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</si>
  <si>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</si>
  <si>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</si>
  <si>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</si>
  <si>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</si>
  <si>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</si>
  <si>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</si>
  <si>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</si>
  <si>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</si>
  <si>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</si>
  <si>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</si>
  <si>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</si>
  <si>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</si>
  <si>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</si>
  <si>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</si>
  <si>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</si>
  <si>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</si>
  <si>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</si>
  <si>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</si>
  <si>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</si>
  <si>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</si>
  <si>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</si>
  <si>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</si>
  <si>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</si>
  <si>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</si>
  <si>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</si>
  <si>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</si>
  <si>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</si>
  <si>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</si>
  <si>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</si>
  <si>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</si>
  <si>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</si>
  <si>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</si>
  <si>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</si>
  <si>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</si>
  <si>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</si>
  <si>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</si>
  <si>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</si>
  <si>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</si>
  <si>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</si>
  <si>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</si>
  <si>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</si>
  <si>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</si>
  <si>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</si>
  <si>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</t>
    </r>
  </si>
  <si>
    <t>Rótulos de Linha</t>
  </si>
  <si>
    <t>Total Geral</t>
  </si>
  <si>
    <t>Soma de Total Value</t>
  </si>
  <si>
    <t>(Tudo)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</si>
  <si>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separado por autorenovação ou que não é por autorenovação</t>
    </r>
  </si>
  <si>
    <t>XBOX GAMEPASS SUBSCRIPTIONS SALE</t>
  </si>
  <si>
    <r>
      <t xml:space="preserve">Pergunta de Negócio 3 -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EA Play</t>
    </r>
  </si>
  <si>
    <t>Soma de EA Play Season Pass</t>
  </si>
  <si>
    <r>
      <t xml:space="preserve">Pergunta de Negócio 4 - </t>
    </r>
    <r>
      <rPr>
        <b/>
        <sz val="11"/>
        <color theme="1"/>
        <rFont val="Aptos Narrow"/>
        <family val="2"/>
        <scheme val="minor"/>
      </rPr>
      <t>Total de assinatura minecraft</t>
    </r>
  </si>
  <si>
    <t>Soma de Minecraft Season Pass Price</t>
  </si>
  <si>
    <t>Média de Total Value</t>
  </si>
  <si>
    <r>
      <t xml:space="preserve">Pergunta de Negócio 5 (Desafio) - </t>
    </r>
    <r>
      <rPr>
        <b/>
        <sz val="11"/>
        <color theme="1"/>
        <rFont val="Aptos Narrow"/>
        <family val="2"/>
        <scheme val="minor"/>
      </rPr>
      <t>Ticket médio</t>
    </r>
  </si>
  <si>
    <t>Month</t>
  </si>
  <si>
    <t>Contagem de Plan</t>
  </si>
  <si>
    <t>Contagem de Plan2</t>
  </si>
  <si>
    <r>
      <t xml:space="preserve">Pergunta de Negócio 7 (Desafio) - </t>
    </r>
    <r>
      <rPr>
        <b/>
        <sz val="11"/>
        <color theme="1"/>
        <rFont val="Aptos Narrow"/>
        <family val="2"/>
        <scheme val="minor"/>
      </rPr>
      <t>Total % por Plano</t>
    </r>
  </si>
  <si>
    <r>
      <t xml:space="preserve">Pergunta de Negócio 6 (Desafio) - </t>
    </r>
    <r>
      <rPr>
        <b/>
        <sz val="11"/>
        <color theme="1"/>
        <rFont val="Aptos Narrow"/>
        <family val="2"/>
        <scheme val="minor"/>
      </rPr>
      <t>Total por data</t>
    </r>
  </si>
  <si>
    <r>
      <t xml:space="preserve">Pergunta de Negócio 8 (Desafio) - </t>
    </r>
    <r>
      <rPr>
        <b/>
        <sz val="11"/>
        <color theme="1"/>
        <rFont val="Aptos Narrow"/>
        <family val="2"/>
        <scheme val="minor"/>
      </rPr>
      <t>Total % Renovação Automátic</t>
    </r>
  </si>
  <si>
    <t>Contagem de Auto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</si>
</sst>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9" formatCode="&quot;R$&quot;\ #,##0.00"/>
    <numFmt numFmtId="170" formatCode="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b/>
      <sz val="24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4"/>
    <xf numFmtId="0" fontId="0" fillId="0" borderId="0" xfId="0" applyNumberFormat="1"/>
    <xf numFmtId="169" fontId="0" fillId="0" borderId="0" xfId="0" applyNumberFormat="1"/>
    <xf numFmtId="170" fontId="0" fillId="0" borderId="0" xfId="0" applyNumberFormat="1"/>
    <xf numFmtId="170" fontId="0" fillId="0" borderId="0" xfId="2" applyNumberFormat="1" applyFont="1" applyAlignment="1">
      <alignment horizontal="center" vertical="center" wrapText="1"/>
    </xf>
    <xf numFmtId="170" fontId="0" fillId="0" borderId="0" xfId="0" applyNumberFormat="1" applyAlignment="1">
      <alignment horizontal="center" vertical="center"/>
    </xf>
    <xf numFmtId="10" fontId="0" fillId="0" borderId="0" xfId="0" applyNumberFormat="1"/>
    <xf numFmtId="10" fontId="0" fillId="0" borderId="0" xfId="3" applyNumberFormat="1" applyFont="1"/>
    <xf numFmtId="0" fontId="0" fillId="4" borderId="0" xfId="0" applyFill="1" applyProtection="1">
      <protection hidden="1"/>
    </xf>
    <xf numFmtId="0" fontId="0" fillId="9" borderId="0" xfId="0" applyFill="1" applyProtection="1">
      <protection hidden="1"/>
    </xf>
    <xf numFmtId="0" fontId="0" fillId="0" borderId="0" xfId="0" applyProtection="1">
      <protection hidden="1"/>
    </xf>
    <xf numFmtId="0" fontId="6" fillId="0" borderId="2" xfId="1" applyFont="1" applyBorder="1" applyAlignment="1" applyProtection="1">
      <alignment horizontal="left" indent="7"/>
      <protection hidden="1"/>
    </xf>
    <xf numFmtId="0" fontId="5" fillId="0" borderId="2" xfId="1" applyFont="1" applyBorder="1" applyProtection="1">
      <protection hidden="1"/>
    </xf>
    <xf numFmtId="0" fontId="0" fillId="0" borderId="2" xfId="0" applyBorder="1" applyProtection="1">
      <protection hidden="1"/>
    </xf>
    <xf numFmtId="0" fontId="0" fillId="7" borderId="0" xfId="0" applyFill="1" applyProtection="1">
      <protection hidden="1"/>
    </xf>
  </cellXfs>
  <cellStyles count="5">
    <cellStyle name="Moeda" xfId="2" builtinId="4"/>
    <cellStyle name="Neutro" xfId="4" builtinId="28"/>
    <cellStyle name="Normal" xfId="0" builtinId="0"/>
    <cellStyle name="Porcentagem" xfId="3" builtinId="5"/>
    <cellStyle name="Título 1" xfId="1" builtinId="16"/>
  </cellStyles>
  <dxfs count="19"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3 2" pivot="0" table="0" count="10" xr9:uid="{D589D6E2-7162-43FF-A759-20E37D2A026E}">
      <tableStyleElement type="wholeTable" dxfId="1"/>
      <tableStyleElement type="headerRow" dxfId="0"/>
    </tableStyle>
    <tableStyle name="SlicerStyleLight6 2" pivot="0" table="0" count="10" xr9:uid="{57C517E9-44BA-4528-A594-E1CDAC1ACA79}">
      <tableStyleElement type="wholeTable" dxfId="4"/>
      <tableStyleElement type="headerRow" dxfId="3"/>
    </tableStyle>
  </tableStyles>
  <colors>
    <mruColors>
      <color rgb="FF22C55E"/>
      <color rgb="FF5BF6A8"/>
      <color rgb="FF9BC848"/>
      <color rgb="FF2AE6B1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[Daschboard Xbox - Nelson Martins.xlsx]C̳álculos!tbl_annual_total</c:name>
    <c:fmtId val="7"/>
  </c:pivotSource>
  <c:chart>
    <c:autoTitleDeleted val="1"/>
    <c:pivotFmts>
      <c:pivotFmt>
        <c:idx val="0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541231348490791E-2"/>
          <c:y val="7.2178477690288756E-3"/>
          <c:w val="0.93517891729357594"/>
          <c:h val="0.941856226305045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solidFill>
                <a:srgbClr val="5BF6A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8-4184-B541-2B71F6CEC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237887"/>
        <c:axId val="731229727"/>
      </c:barChart>
      <c:catAx>
        <c:axId val="73123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1229727"/>
        <c:crosses val="autoZero"/>
        <c:auto val="1"/>
        <c:lblAlgn val="ctr"/>
        <c:lblOffset val="100"/>
        <c:noMultiLvlLbl val="0"/>
      </c:catAx>
      <c:valAx>
        <c:axId val="73122972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3123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[Daschboard Xbox - Nelson Martins.xlsx]C̳álculos!tbl_%Plan</c:name>
    <c:fmtId val="12"/>
  </c:pivotSource>
  <c:chart>
    <c:autoTitleDeleted val="1"/>
    <c:pivotFmts>
      <c:pivotFmt>
        <c:idx val="0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6570740045394682E-2"/>
          <c:y val="0.12350174978127736"/>
          <c:w val="0.88409785075797931"/>
          <c:h val="0.8626093613298339"/>
        </c:manualLayout>
      </c:layout>
      <c:pieChart>
        <c:varyColors val="1"/>
        <c:ser>
          <c:idx val="0"/>
          <c:order val="0"/>
          <c:tx>
            <c:strRef>
              <c:f>C̳álculos!$C$62</c:f>
              <c:strCache>
                <c:ptCount val="1"/>
                <c:pt idx="0">
                  <c:v>Contagem de Plan</c:v>
                </c:pt>
              </c:strCache>
            </c:strRef>
          </c:tx>
          <c:spPr>
            <a:solidFill>
              <a:srgbClr val="9BC848"/>
            </a:solidFill>
          </c:spPr>
          <c:explosion val="14"/>
          <c:dPt>
            <c:idx val="0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88-499A-82FE-1517B8307943}"/>
              </c:ext>
            </c:extLst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88-499A-82FE-1517B8307943}"/>
              </c:ext>
            </c:extLst>
          </c:dPt>
          <c:dPt>
            <c:idx val="2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88-499A-82FE-1517B83079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C̳álculos!$B$63:$B$66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C̳álculos!$C$63:$C$66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88-499A-82FE-1517B8307943}"/>
            </c:ext>
          </c:extLst>
        </c:ser>
        <c:ser>
          <c:idx val="1"/>
          <c:order val="1"/>
          <c:tx>
            <c:strRef>
              <c:f>C̳álculos!$D$62</c:f>
              <c:strCache>
                <c:ptCount val="1"/>
                <c:pt idx="0">
                  <c:v>Contagem de Plan2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288-499A-82FE-1517B8307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288-499A-82FE-1517B8307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288-499A-82FE-1517B83079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C̳álculos!$B$63:$B$66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C̳álculos!$D$63:$D$66</c:f>
              <c:numCache>
                <c:formatCode>0.00%</c:formatCode>
                <c:ptCount val="3"/>
                <c:pt idx="0">
                  <c:v>0.34237288135593219</c:v>
                </c:pt>
                <c:pt idx="1">
                  <c:v>0.3254237288135593</c:v>
                </c:pt>
                <c:pt idx="2">
                  <c:v>0.33220338983050846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288-499A-82FE-1517B830794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0.9907951541644483"/>
          <c:h val="0.11979221347331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8.png"/><Relationship Id="rId7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324516</xdr:colOff>
      <xdr:row>12</xdr:row>
      <xdr:rowOff>114966</xdr:rowOff>
    </xdr:from>
    <xdr:to>
      <xdr:col>13</xdr:col>
      <xdr:colOff>514350</xdr:colOff>
      <xdr:row>16</xdr:row>
      <xdr:rowOff>142875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F5D5827-357D-0B53-6EA4-FEDA3BD73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68241" y="2543841"/>
          <a:ext cx="799434" cy="7994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11907</xdr:colOff>
      <xdr:row>0</xdr:row>
      <xdr:rowOff>307397</xdr:rowOff>
    </xdr:from>
    <xdr:to>
      <xdr:col>2</xdr:col>
      <xdr:colOff>595315</xdr:colOff>
      <xdr:row>2</xdr:row>
      <xdr:rowOff>9740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C1AD91-77C1-44EA-8E38-31B0927FA6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5" t="22130" r="72359" b="20797"/>
        <a:stretch>
          <a:fillRect/>
        </a:stretch>
      </xdr:blipFill>
      <xdr:spPr>
        <a:xfrm>
          <a:off x="2124725" y="307397"/>
          <a:ext cx="583408" cy="57691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57605</xdr:rowOff>
    </xdr:from>
    <xdr:to>
      <xdr:col>0</xdr:col>
      <xdr:colOff>1828800</xdr:colOff>
      <xdr:row>11</xdr:row>
      <xdr:rowOff>129887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640715AC-3783-438A-9059-446E0E1EC62C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24900"/>
              <a:ext cx="1828800" cy="13105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2</xdr:col>
      <xdr:colOff>261938</xdr:colOff>
      <xdr:row>7</xdr:row>
      <xdr:rowOff>44267</xdr:rowOff>
    </xdr:from>
    <xdr:to>
      <xdr:col>10</xdr:col>
      <xdr:colOff>357188</xdr:colOff>
      <xdr:row>14</xdr:row>
      <xdr:rowOff>79986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394DAE3-9E76-6F32-C1B0-E29CB9F6C921}"/>
            </a:ext>
          </a:extLst>
        </xdr:cNvPr>
        <xdr:cNvGrpSpPr/>
      </xdr:nvGrpSpPr>
      <xdr:grpSpPr>
        <a:xfrm>
          <a:off x="2374756" y="1862676"/>
          <a:ext cx="4944341" cy="1594355"/>
          <a:chOff x="2321719" y="1226344"/>
          <a:chExt cx="4953000" cy="1595437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5D956C9-13D8-6AB5-4E76-CB182FB9179B}"/>
              </a:ext>
            </a:extLst>
          </xdr:cNvPr>
          <xdr:cNvSpPr/>
        </xdr:nvSpPr>
        <xdr:spPr>
          <a:xfrm>
            <a:off x="2333624" y="1262062"/>
            <a:ext cx="4929187" cy="1559719"/>
          </a:xfrm>
          <a:prstGeom prst="roundRect">
            <a:avLst>
              <a:gd name="adj" fmla="val 67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3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923951FB-4CFE-4324-BBB8-99A1B1E2A51B}"/>
              </a:ext>
            </a:extLst>
          </xdr:cNvPr>
          <xdr:cNvSpPr/>
        </xdr:nvSpPr>
        <xdr:spPr>
          <a:xfrm>
            <a:off x="3910745" y="1964531"/>
            <a:ext cx="3328253" cy="687600"/>
          </a:xfrm>
          <a:prstGeom prst="roundRect">
            <a:avLst>
              <a:gd name="adj" fmla="val 674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C99868C-AA39-412B-89FE-12178760DCED}" type="TxLink">
              <a:rPr lang="en-US" sz="4000" b="0" i="0" u="none" strike="noStrike">
                <a:solidFill>
                  <a:srgbClr val="2AE6B1"/>
                </a:solidFill>
                <a:latin typeface="Aptos Narrow"/>
              </a:rPr>
              <a:pPr algn="ctr"/>
              <a:t>R$ 2.940,00</a:t>
            </a:fld>
            <a:endParaRPr lang="pt-BR" sz="4000">
              <a:solidFill>
                <a:srgbClr val="2AE6B1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6F87CEFA-AAC1-4CD8-ABE3-8D9B8536633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6078" b="26863"/>
          <a:stretch>
            <a:fillRect/>
          </a:stretch>
        </xdr:blipFill>
        <xdr:spPr>
          <a:xfrm>
            <a:off x="2524125" y="1976438"/>
            <a:ext cx="1464468" cy="689162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46EE655F-420B-8D7D-9DB4-D7875864072D}"/>
              </a:ext>
            </a:extLst>
          </xdr:cNvPr>
          <xdr:cNvSpPr/>
        </xdr:nvSpPr>
        <xdr:spPr>
          <a:xfrm>
            <a:off x="2321719" y="1226344"/>
            <a:ext cx="4953000" cy="5238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EA PLAY SEASON PASS</a:t>
            </a:r>
          </a:p>
        </xdr:txBody>
      </xdr:sp>
    </xdr:grpSp>
    <xdr:clientData/>
  </xdr:twoCellAnchor>
  <xdr:twoCellAnchor>
    <xdr:from>
      <xdr:col>11</xdr:col>
      <xdr:colOff>366712</xdr:colOff>
      <xdr:row>7</xdr:row>
      <xdr:rowOff>44267</xdr:rowOff>
    </xdr:from>
    <xdr:to>
      <xdr:col>20</xdr:col>
      <xdr:colOff>21431</xdr:colOff>
      <xdr:row>14</xdr:row>
      <xdr:rowOff>79986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C2EF7754-FC29-CDA7-5DAA-2EC60626976E}"/>
            </a:ext>
          </a:extLst>
        </xdr:cNvPr>
        <xdr:cNvGrpSpPr/>
      </xdr:nvGrpSpPr>
      <xdr:grpSpPr>
        <a:xfrm>
          <a:off x="7934757" y="1862676"/>
          <a:ext cx="4945424" cy="1594355"/>
          <a:chOff x="7939087" y="1712118"/>
          <a:chExt cx="4953000" cy="1595437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D2C20920-A46E-426B-92E8-863AE9F216C3}"/>
              </a:ext>
            </a:extLst>
          </xdr:cNvPr>
          <xdr:cNvGrpSpPr/>
        </xdr:nvGrpSpPr>
        <xdr:grpSpPr>
          <a:xfrm>
            <a:off x="7939087" y="1712118"/>
            <a:ext cx="4953000" cy="1595437"/>
            <a:chOff x="2321719" y="1226344"/>
            <a:chExt cx="4953000" cy="1595437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4EB0DAE1-0200-2E8C-37D3-D734E0540905}"/>
                </a:ext>
              </a:extLst>
            </xdr:cNvPr>
            <xdr:cNvSpPr/>
          </xdr:nvSpPr>
          <xdr:spPr>
            <a:xfrm>
              <a:off x="2333624" y="1262062"/>
              <a:ext cx="4929187" cy="1559719"/>
            </a:xfrm>
            <a:prstGeom prst="roundRect">
              <a:avLst>
                <a:gd name="adj" fmla="val 674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3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EDF5307B-0E66-74C6-A762-92868C19F421}"/>
                </a:ext>
              </a:extLst>
            </xdr:cNvPr>
            <xdr:cNvSpPr/>
          </xdr:nvSpPr>
          <xdr:spPr>
            <a:xfrm>
              <a:off x="3910745" y="1964531"/>
              <a:ext cx="3328253" cy="687600"/>
            </a:xfrm>
            <a:prstGeom prst="roundRect">
              <a:avLst>
                <a:gd name="adj" fmla="val 674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1D6310F-5184-4D2F-B8C7-3DBD69CB9811}" type="TxLink">
                <a:rPr lang="en-US" sz="4000" b="0" i="0" u="none" strike="noStrike">
                  <a:solidFill>
                    <a:srgbClr val="2AE6B1"/>
                  </a:solidFill>
                  <a:latin typeface="Aptos Narrow"/>
                </a:rPr>
                <a:t>R$ 3.880,00</a:t>
              </a:fld>
              <a:endParaRPr lang="pt-BR" sz="11500">
                <a:solidFill>
                  <a:srgbClr val="2AE6B1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4C8988C2-4E05-4F6B-B9A4-FCE5C80B451D}"/>
                </a:ext>
              </a:extLst>
            </xdr:cNvPr>
            <xdr:cNvSpPr/>
          </xdr:nvSpPr>
          <xdr:spPr>
            <a:xfrm>
              <a:off x="2321719" y="1226344"/>
              <a:ext cx="4953000" cy="5238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 MINECRAFT SEASON PASS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1DEA3289-4B47-47C2-9CFA-127C5EBA7927}"/>
              </a:ext>
            </a:extLst>
          </xdr:cNvPr>
          <xdr:cNvGrpSpPr/>
        </xdr:nvGrpSpPr>
        <xdr:grpSpPr>
          <a:xfrm>
            <a:off x="8165306" y="2331243"/>
            <a:ext cx="1549476" cy="752476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2E9DB7F2-9670-E1DF-E1F7-F8FAC577C8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DBA6B238-353C-AECD-0856-856AFCF999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271462</xdr:colOff>
      <xdr:row>16</xdr:row>
      <xdr:rowOff>8335</xdr:rowOff>
    </xdr:from>
    <xdr:to>
      <xdr:col>20</xdr:col>
      <xdr:colOff>44510</xdr:colOff>
      <xdr:row>32</xdr:row>
      <xdr:rowOff>130969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CDC80792-AB68-9AAA-2630-E9CF3FFF521B}"/>
            </a:ext>
          </a:extLst>
        </xdr:cNvPr>
        <xdr:cNvGrpSpPr/>
      </xdr:nvGrpSpPr>
      <xdr:grpSpPr>
        <a:xfrm>
          <a:off x="2384280" y="3766380"/>
          <a:ext cx="10518980" cy="3170634"/>
          <a:chOff x="2378868" y="3592116"/>
          <a:chExt cx="10575132" cy="3170634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34CDB1EF-AB2B-C23A-3B53-45E796F2B7D5}"/>
              </a:ext>
            </a:extLst>
          </xdr:cNvPr>
          <xdr:cNvGrpSpPr/>
        </xdr:nvGrpSpPr>
        <xdr:grpSpPr>
          <a:xfrm>
            <a:off x="2381249" y="3631406"/>
            <a:ext cx="10572751" cy="3131344"/>
            <a:chOff x="2619375" y="1357312"/>
            <a:chExt cx="4941094" cy="3131344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5C34E31E-31AB-5A80-55A7-B59E1A956A30}"/>
                </a:ext>
              </a:extLst>
            </xdr:cNvPr>
            <xdr:cNvSpPr/>
          </xdr:nvSpPr>
          <xdr:spPr>
            <a:xfrm>
              <a:off x="2619375" y="1357312"/>
              <a:ext cx="4941094" cy="3131344"/>
            </a:xfrm>
            <a:prstGeom prst="roundRect">
              <a:avLst>
                <a:gd name="adj" fmla="val 526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52CE92F-57FF-4009-A227-1F80A236E166}"/>
                </a:ext>
              </a:extLst>
            </xdr:cNvPr>
            <xdr:cNvGraphicFramePr>
              <a:graphicFrameLocks/>
            </xdr:cNvGraphicFramePr>
          </xdr:nvGraphicFramePr>
          <xdr:xfrm>
            <a:off x="2619376" y="1809750"/>
            <a:ext cx="4929964" cy="267890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867EE67F-2916-4070-90BB-7D2F092885F6}"/>
              </a:ext>
            </a:extLst>
          </xdr:cNvPr>
          <xdr:cNvSpPr/>
        </xdr:nvSpPr>
        <xdr:spPr>
          <a:xfrm>
            <a:off x="2378868" y="3592116"/>
            <a:ext cx="10573200" cy="5238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</a:t>
            </a:r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</a:p>
        </xdr:txBody>
      </xdr:sp>
    </xdr:grpSp>
    <xdr:clientData/>
  </xdr:twoCellAnchor>
  <xdr:twoCellAnchor>
    <xdr:from>
      <xdr:col>0</xdr:col>
      <xdr:colOff>23812</xdr:colOff>
      <xdr:row>2</xdr:row>
      <xdr:rowOff>152665</xdr:rowOff>
    </xdr:from>
    <xdr:to>
      <xdr:col>0</xdr:col>
      <xdr:colOff>1809750</xdr:colOff>
      <xdr:row>4</xdr:row>
      <xdr:rowOff>69276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A53267B4-322B-72F4-B043-705C4874E167}"/>
            </a:ext>
          </a:extLst>
        </xdr:cNvPr>
        <xdr:cNvSpPr/>
      </xdr:nvSpPr>
      <xdr:spPr>
        <a:xfrm>
          <a:off x="23812" y="1027233"/>
          <a:ext cx="1785938" cy="51408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</a:rPr>
            <a:t>Olá,</a:t>
          </a:r>
          <a:r>
            <a:rPr lang="pt-BR" sz="1200" b="0" baseline="0">
              <a:solidFill>
                <a:schemeClr val="bg1"/>
              </a:solidFill>
            </a:rPr>
            <a:t> </a:t>
          </a:r>
          <a:r>
            <a:rPr lang="pt-BR" sz="1200" b="0">
              <a:solidFill>
                <a:schemeClr val="bg1"/>
              </a:solidFill>
            </a:rPr>
            <a:t>Bem</a:t>
          </a:r>
          <a:r>
            <a:rPr lang="pt-BR" sz="1200" b="0" baseline="0">
              <a:solidFill>
                <a:schemeClr val="bg1"/>
              </a:solidFill>
            </a:rPr>
            <a:t> Vindo</a:t>
          </a:r>
        </a:p>
        <a:p>
          <a:pPr algn="ctr"/>
          <a:r>
            <a:rPr lang="pt-BR" sz="1200" b="0" baseline="0">
              <a:solidFill>
                <a:schemeClr val="bg1"/>
              </a:solidFill>
            </a:rPr>
            <a:t>Felipe Aguiar!</a:t>
          </a:r>
          <a:endParaRPr lang="pt-BR" sz="12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241079</xdr:colOff>
      <xdr:row>3</xdr:row>
      <xdr:rowOff>9142</xdr:rowOff>
    </xdr:from>
    <xdr:to>
      <xdr:col>12</xdr:col>
      <xdr:colOff>241078</xdr:colOff>
      <xdr:row>6</xdr:row>
      <xdr:rowOff>14373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B6018ED9-31D8-4CD2-AA96-436165941C3D}"/>
            </a:ext>
          </a:extLst>
        </xdr:cNvPr>
        <xdr:cNvSpPr/>
      </xdr:nvSpPr>
      <xdr:spPr>
        <a:xfrm>
          <a:off x="2353897" y="1377278"/>
          <a:ext cx="5896840" cy="33427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50" b="0">
              <a:solidFill>
                <a:schemeClr val="bg2">
                  <a:lumMod val="50000"/>
                </a:schemeClr>
              </a:solidFill>
            </a:rPr>
            <a:t>Calculation period: 01/01/2024</a:t>
          </a:r>
          <a:r>
            <a:rPr lang="pt-BR" sz="1050" b="0" baseline="0">
              <a:solidFill>
                <a:schemeClr val="bg2">
                  <a:lumMod val="50000"/>
                </a:schemeClr>
              </a:solidFill>
            </a:rPr>
            <a:t> - 31/12/2024 | Update date: 31/12/2024 09:00</a:t>
          </a:r>
          <a:endParaRPr lang="pt-BR" sz="1050" b="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269286</xdr:colOff>
      <xdr:row>19</xdr:row>
      <xdr:rowOff>178038</xdr:rowOff>
    </xdr:from>
    <xdr:to>
      <xdr:col>24</xdr:col>
      <xdr:colOff>439977</xdr:colOff>
      <xdr:row>33</xdr:row>
      <xdr:rowOff>8888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7C6DDC77-5563-56C6-157F-FAD125710917}"/>
            </a:ext>
          </a:extLst>
        </xdr:cNvPr>
        <xdr:cNvGrpSpPr/>
      </xdr:nvGrpSpPr>
      <xdr:grpSpPr>
        <a:xfrm>
          <a:off x="13128036" y="4507583"/>
          <a:ext cx="2595236" cy="2497850"/>
          <a:chOff x="13108013" y="1709258"/>
          <a:chExt cx="2590678" cy="2180979"/>
        </a:xfrm>
      </xdr:grpSpPr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89309F49-B2F3-7DF8-B996-F7A69614FE76}"/>
              </a:ext>
            </a:extLst>
          </xdr:cNvPr>
          <xdr:cNvSpPr/>
        </xdr:nvSpPr>
        <xdr:spPr>
          <a:xfrm>
            <a:off x="13112453" y="1779606"/>
            <a:ext cx="2578223" cy="2039296"/>
          </a:xfrm>
          <a:prstGeom prst="roundRect">
            <a:avLst>
              <a:gd name="adj" fmla="val 67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1BC00A7E-C9FC-A960-5690-EE7C4891449A}"/>
              </a:ext>
            </a:extLst>
          </xdr:cNvPr>
          <xdr:cNvGrpSpPr/>
        </xdr:nvGrpSpPr>
        <xdr:grpSpPr>
          <a:xfrm>
            <a:off x="13108013" y="1709258"/>
            <a:ext cx="2590678" cy="2180979"/>
            <a:chOff x="14069415" y="1709258"/>
            <a:chExt cx="2590678" cy="2180979"/>
          </a:xfrm>
        </xdr:grpSpPr>
        <xdr:sp macro="" textlink="C̳álculos!F38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8DD6A754-4B08-8D01-089F-49961ED5258C}"/>
                </a:ext>
              </a:extLst>
            </xdr:cNvPr>
            <xdr:cNvSpPr/>
          </xdr:nvSpPr>
          <xdr:spPr>
            <a:xfrm>
              <a:off x="15302842" y="2310403"/>
              <a:ext cx="1236826" cy="719999"/>
            </a:xfrm>
            <a:prstGeom prst="roundRect">
              <a:avLst>
                <a:gd name="adj" fmla="val 674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fld id="{0D3D8F8F-18FC-4FB9-B842-C63E3E6D964E}" type="TxLink">
                <a:rPr lang="en-US" sz="1600" b="0" i="0" u="none" strike="noStrike">
                  <a:solidFill>
                    <a:srgbClr val="22C55E"/>
                  </a:solidFill>
                  <a:latin typeface="Aptos Narrow"/>
                </a:rPr>
                <a:pPr algn="l"/>
                <a:t> R$ 24,70 </a:t>
              </a:fld>
              <a:endParaRPr lang="pt-BR" sz="115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35" name="Retângulo: Cantos Superiores Arredondados 34">
              <a:extLst>
                <a:ext uri="{FF2B5EF4-FFF2-40B4-BE49-F238E27FC236}">
                  <a16:creationId xmlns:a16="http://schemas.microsoft.com/office/drawing/2014/main" id="{FD6D89BE-732A-DDB0-21BA-C87D55A0908A}"/>
                </a:ext>
              </a:extLst>
            </xdr:cNvPr>
            <xdr:cNvSpPr/>
          </xdr:nvSpPr>
          <xdr:spPr>
            <a:xfrm>
              <a:off x="14069415" y="1709258"/>
              <a:ext cx="2590678" cy="63193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/>
                <a:t>Global Average Order Value (Global AOV):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F39">
          <xdr:nvSpPr>
            <xdr:cNvPr id="36" name="Retângulo: Cantos Arredondados 35">
              <a:extLst>
                <a:ext uri="{FF2B5EF4-FFF2-40B4-BE49-F238E27FC236}">
                  <a16:creationId xmlns:a16="http://schemas.microsoft.com/office/drawing/2014/main" id="{41D8A8D9-A727-48AD-AFFF-F75E9A471B1E}"/>
                </a:ext>
              </a:extLst>
            </xdr:cNvPr>
            <xdr:cNvSpPr/>
          </xdr:nvSpPr>
          <xdr:spPr>
            <a:xfrm>
              <a:off x="15302842" y="2744770"/>
              <a:ext cx="1236826" cy="720000"/>
            </a:xfrm>
            <a:prstGeom prst="roundRect">
              <a:avLst>
                <a:gd name="adj" fmla="val 674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fld id="{5F072D15-3D09-4335-9BAE-FBC467515F40}" type="TxLink">
                <a:rPr lang="en-US" sz="1600" b="0" i="0" u="none" strike="noStrike">
                  <a:solidFill>
                    <a:srgbClr val="22C55E"/>
                  </a:solidFill>
                  <a:latin typeface="Aptos Narrow"/>
                </a:rPr>
                <a:pPr algn="l"/>
                <a:t> R$ 25,69 </a:t>
              </a:fld>
              <a:endParaRPr lang="pt-BR" sz="19900">
                <a:solidFill>
                  <a:srgbClr val="22C55E"/>
                </a:solidFill>
              </a:endParaRPr>
            </a:p>
          </xdr:txBody>
        </xdr:sp>
        <xdr:sp macro="" textlink="C̳álculos!F40">
          <xdr:nvSpPr>
            <xdr:cNvPr id="37" name="Retângulo: Cantos Arredondados 36">
              <a:extLst>
                <a:ext uri="{FF2B5EF4-FFF2-40B4-BE49-F238E27FC236}">
                  <a16:creationId xmlns:a16="http://schemas.microsoft.com/office/drawing/2014/main" id="{C01F371B-B197-4C9F-A9EF-77A1D018E58E}"/>
                </a:ext>
              </a:extLst>
            </xdr:cNvPr>
            <xdr:cNvSpPr/>
          </xdr:nvSpPr>
          <xdr:spPr>
            <a:xfrm>
              <a:off x="15302842" y="3170237"/>
              <a:ext cx="1236826" cy="720000"/>
            </a:xfrm>
            <a:prstGeom prst="roundRect">
              <a:avLst>
                <a:gd name="adj" fmla="val 674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fld id="{7ECBBE3E-4A32-4490-909C-FEDF4BF5AF27}" type="TxLink">
                <a:rPr lang="en-US" sz="1600" b="0" i="0" u="none" strike="noStrike">
                  <a:solidFill>
                    <a:srgbClr val="22C55E"/>
                  </a:solidFill>
                  <a:latin typeface="Aptos Narrow"/>
                </a:rPr>
                <a:pPr algn="l"/>
                <a:t> R$ 27,15 </a:t>
              </a:fld>
              <a:endParaRPr lang="pt-BR" sz="199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5BD8F91F-07D3-4ECA-AF8C-8C2F0E87374F}"/>
                </a:ext>
              </a:extLst>
            </xdr:cNvPr>
            <xdr:cNvSpPr/>
          </xdr:nvSpPr>
          <xdr:spPr>
            <a:xfrm>
              <a:off x="14188505" y="2435174"/>
              <a:ext cx="1090833" cy="44131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pt-BR" sz="1600" b="0" cap="none" spc="0">
                  <a:ln w="0"/>
                  <a:solidFill>
                    <a:srgbClr val="22C55E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Annual</a:t>
              </a:r>
            </a:p>
          </xdr:txBody>
        </xdr:sp>
        <xdr:sp macro="" textlink="">
          <xdr:nvSpPr>
            <xdr:cNvPr id="40" name="Retângulo: Cantos Arredondados 39">
              <a:extLst>
                <a:ext uri="{FF2B5EF4-FFF2-40B4-BE49-F238E27FC236}">
                  <a16:creationId xmlns:a16="http://schemas.microsoft.com/office/drawing/2014/main" id="{6BA697F9-73B5-45A5-B8D0-060068345B8D}"/>
                </a:ext>
              </a:extLst>
            </xdr:cNvPr>
            <xdr:cNvSpPr/>
          </xdr:nvSpPr>
          <xdr:spPr>
            <a:xfrm>
              <a:off x="14198475" y="2863532"/>
              <a:ext cx="1090833" cy="44131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pt-BR" sz="1600" b="0" cap="none" spc="0">
                  <a:ln w="0"/>
                  <a:solidFill>
                    <a:srgbClr val="22C55E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Monthly</a:t>
              </a:r>
            </a:p>
          </xdr:txBody>
        </xdr:sp>
        <xdr:sp macro="" textlink="">
          <xdr:nvSpPr>
            <xdr:cNvPr id="41" name="Retângulo: Cantos Arredondados 40">
              <a:extLst>
                <a:ext uri="{FF2B5EF4-FFF2-40B4-BE49-F238E27FC236}">
                  <a16:creationId xmlns:a16="http://schemas.microsoft.com/office/drawing/2014/main" id="{64AB0323-E9EB-4762-A8A7-1C7330AEB1BE}"/>
                </a:ext>
              </a:extLst>
            </xdr:cNvPr>
            <xdr:cNvSpPr/>
          </xdr:nvSpPr>
          <xdr:spPr>
            <a:xfrm>
              <a:off x="14193490" y="3282989"/>
              <a:ext cx="1090833" cy="44131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pt-BR" sz="1600" b="0" cap="none" spc="0">
                  <a:ln w="0"/>
                  <a:solidFill>
                    <a:srgbClr val="22C55E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Quarterly</a:t>
              </a:r>
            </a:p>
          </xdr:txBody>
        </xdr:sp>
      </xdr:grpSp>
    </xdr:grpSp>
    <xdr:clientData/>
  </xdr:twoCellAnchor>
  <xdr:twoCellAnchor editAs="absolute">
    <xdr:from>
      <xdr:col>0</xdr:col>
      <xdr:colOff>0</xdr:colOff>
      <xdr:row>11</xdr:row>
      <xdr:rowOff>129887</xdr:rowOff>
    </xdr:from>
    <xdr:to>
      <xdr:col>0</xdr:col>
      <xdr:colOff>1828800</xdr:colOff>
      <xdr:row>18</xdr:row>
      <xdr:rowOff>142431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6" name="Plan">
              <a:extLst>
                <a:ext uri="{FF2B5EF4-FFF2-40B4-BE49-F238E27FC236}">
                  <a16:creationId xmlns:a16="http://schemas.microsoft.com/office/drawing/2014/main" id="{C658B929-9420-4390-91D6-E667AEA95E3F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35432"/>
              <a:ext cx="1828800" cy="1346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0</xdr:colOff>
      <xdr:row>18</xdr:row>
      <xdr:rowOff>133528</xdr:rowOff>
    </xdr:from>
    <xdr:to>
      <xdr:col>0</xdr:col>
      <xdr:colOff>1833785</xdr:colOff>
      <xdr:row>27</xdr:row>
      <xdr:rowOff>151332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8" name="Month">
              <a:extLst>
                <a:ext uri="{FF2B5EF4-FFF2-40B4-BE49-F238E27FC236}">
                  <a16:creationId xmlns:a16="http://schemas.microsoft.com/office/drawing/2014/main" id="{922107BA-E724-4E79-9B7F-5E7D1E4DEFEF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72573"/>
              <a:ext cx="1833785" cy="17323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20</xdr:col>
      <xdr:colOff>269286</xdr:colOff>
      <xdr:row>7</xdr:row>
      <xdr:rowOff>44267</xdr:rowOff>
    </xdr:from>
    <xdr:to>
      <xdr:col>24</xdr:col>
      <xdr:colOff>439977</xdr:colOff>
      <xdr:row>18</xdr:row>
      <xdr:rowOff>132487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E9B3DEC9-BCE5-C676-16A6-B63DCA10ECD3}"/>
            </a:ext>
          </a:extLst>
        </xdr:cNvPr>
        <xdr:cNvGrpSpPr/>
      </xdr:nvGrpSpPr>
      <xdr:grpSpPr>
        <a:xfrm>
          <a:off x="13128036" y="1862676"/>
          <a:ext cx="2595236" cy="2408856"/>
          <a:chOff x="13085748" y="1718160"/>
          <a:chExt cx="2608248" cy="2394504"/>
        </a:xfrm>
      </xdr:grpSpPr>
      <xdr:sp macro="" textlink="">
        <xdr:nvSpPr>
          <xdr:cNvPr id="53" name="Retângulo: Cantos Arredondados 52">
            <a:extLst>
              <a:ext uri="{FF2B5EF4-FFF2-40B4-BE49-F238E27FC236}">
                <a16:creationId xmlns:a16="http://schemas.microsoft.com/office/drawing/2014/main" id="{EC54D6EA-5538-4FDB-B5DA-8611659BBF70}"/>
              </a:ext>
            </a:extLst>
          </xdr:cNvPr>
          <xdr:cNvSpPr/>
        </xdr:nvSpPr>
        <xdr:spPr>
          <a:xfrm>
            <a:off x="13085748" y="1976215"/>
            <a:ext cx="2599345" cy="2136449"/>
          </a:xfrm>
          <a:prstGeom prst="roundRect">
            <a:avLst>
              <a:gd name="adj" fmla="val 67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0" name="Gráfico 49">
            <a:extLst>
              <a:ext uri="{FF2B5EF4-FFF2-40B4-BE49-F238E27FC236}">
                <a16:creationId xmlns:a16="http://schemas.microsoft.com/office/drawing/2014/main" id="{BBFAFC1C-741D-4D2B-A2FA-ED7F1F9AF38D}"/>
              </a:ext>
            </a:extLst>
          </xdr:cNvPr>
          <xdr:cNvGraphicFramePr>
            <a:graphicFrameLocks/>
          </xdr:cNvGraphicFramePr>
        </xdr:nvGraphicFramePr>
        <xdr:xfrm>
          <a:off x="13130259" y="2305584"/>
          <a:ext cx="2528130" cy="16913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51" name="Retângulo: Cantos Superiores Arredondados 50">
            <a:extLst>
              <a:ext uri="{FF2B5EF4-FFF2-40B4-BE49-F238E27FC236}">
                <a16:creationId xmlns:a16="http://schemas.microsoft.com/office/drawing/2014/main" id="{CF1D87F9-2595-408E-9504-1DE85F538E73}"/>
              </a:ext>
            </a:extLst>
          </xdr:cNvPr>
          <xdr:cNvSpPr/>
        </xdr:nvSpPr>
        <xdr:spPr>
          <a:xfrm>
            <a:off x="13085748" y="1718160"/>
            <a:ext cx="2608248" cy="51740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% PLAN</a:t>
            </a:r>
          </a:p>
        </xdr:txBody>
      </xdr:sp>
    </xdr:grpSp>
    <xdr:clientData/>
  </xdr:twoCellAnchor>
  <xdr:twoCellAnchor editAs="absolute">
    <xdr:from>
      <xdr:col>0</xdr:col>
      <xdr:colOff>5361</xdr:colOff>
      <xdr:row>27</xdr:row>
      <xdr:rowOff>164523</xdr:rowOff>
    </xdr:from>
    <xdr:to>
      <xdr:col>0</xdr:col>
      <xdr:colOff>1834161</xdr:colOff>
      <xdr:row>32</xdr:row>
      <xdr:rowOff>181305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5" name="Auto Renewal">
              <a:extLst>
                <a:ext uri="{FF2B5EF4-FFF2-40B4-BE49-F238E27FC236}">
                  <a16:creationId xmlns:a16="http://schemas.microsoft.com/office/drawing/2014/main" id="{4F6F7D4F-78A8-4C1B-A72B-15F4D6BF8E8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1" y="6018068"/>
              <a:ext cx="1828800" cy="9692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255322</xdr:colOff>
      <xdr:row>36</xdr:row>
      <xdr:rowOff>110710</xdr:rowOff>
    </xdr:from>
    <xdr:to>
      <xdr:col>24</xdr:col>
      <xdr:colOff>510887</xdr:colOff>
      <xdr:row>38</xdr:row>
      <xdr:rowOff>63987</xdr:rowOff>
    </xdr:to>
    <xdr:sp macro="" textlink="">
      <xdr:nvSpPr>
        <xdr:cNvPr id="61" name="Retângulo: Cantos Arredondados 60">
          <a:extLst>
            <a:ext uri="{FF2B5EF4-FFF2-40B4-BE49-F238E27FC236}">
              <a16:creationId xmlns:a16="http://schemas.microsoft.com/office/drawing/2014/main" id="{1CDEA6AB-228F-4914-8469-549D3AE3B05B}"/>
            </a:ext>
          </a:extLst>
        </xdr:cNvPr>
        <xdr:cNvSpPr/>
      </xdr:nvSpPr>
      <xdr:spPr>
        <a:xfrm>
          <a:off x="2368140" y="7678755"/>
          <a:ext cx="13426042" cy="33427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2">
                  <a:lumMod val="50000"/>
                </a:schemeClr>
              </a:solidFill>
            </a:rPr>
            <a:t>© 2026 Nelson Martins | Desenvolvido para o desafio – Inclui análises e ideias adicionais.</a:t>
          </a:r>
          <a:endParaRPr lang="pt-BR" sz="1200" b="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528204</xdr:colOff>
      <xdr:row>0</xdr:row>
      <xdr:rowOff>155867</xdr:rowOff>
    </xdr:from>
    <xdr:to>
      <xdr:col>0</xdr:col>
      <xdr:colOff>1327638</xdr:colOff>
      <xdr:row>2</xdr:row>
      <xdr:rowOff>80733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771E224A-BB0D-406A-9263-81B950B99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8204" y="155867"/>
          <a:ext cx="799434" cy="79943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Leorde Martins" refreshedDate="46025.588389004632" createdVersion="8" refreshedVersion="8" minRefreshableVersion="3" recordCount="295" xr:uid="{E0A97C17-E3D3-440E-BE26-CDA356BF8F0D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 pivotCacheId="8476900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  <x v="0"/>
  </r>
  <r>
    <n v="3232"/>
    <s v="Maria Oliveira"/>
    <x v="1"/>
    <d v="2024-01-15T00:00:00"/>
    <x v="1"/>
    <n v="5"/>
    <x v="1"/>
    <s v="No"/>
    <s v="-"/>
    <s v="No"/>
    <n v="0"/>
    <n v="0"/>
    <n v="5"/>
    <x v="0"/>
  </r>
  <r>
    <n v="3233"/>
    <s v="Lucas Fernandes"/>
    <x v="2"/>
    <d v="2024-02-10T00:00:00"/>
    <x v="0"/>
    <n v="10"/>
    <x v="2"/>
    <s v="No"/>
    <s v="-"/>
    <s v="Yes"/>
    <n v="20"/>
    <n v="10"/>
    <n v="20"/>
    <x v="1"/>
  </r>
  <r>
    <n v="3234"/>
    <s v="Ana Souza"/>
    <x v="0"/>
    <d v="2024-02-20T00:00:00"/>
    <x v="1"/>
    <n v="15"/>
    <x v="0"/>
    <s v="Yes"/>
    <n v="30"/>
    <s v="Yes"/>
    <n v="20"/>
    <n v="3"/>
    <n v="62"/>
    <x v="1"/>
  </r>
  <r>
    <n v="3235"/>
    <s v="Pedro Gonçalves"/>
    <x v="1"/>
    <d v="2024-03-05T00:00:00"/>
    <x v="0"/>
    <n v="5"/>
    <x v="0"/>
    <s v="No"/>
    <s v="-"/>
    <s v="No"/>
    <n v="0"/>
    <n v="1"/>
    <n v="4"/>
    <x v="2"/>
  </r>
  <r>
    <n v="3236"/>
    <s v="Felipe Costa"/>
    <x v="2"/>
    <d v="2024-03-02T00:00:00"/>
    <x v="1"/>
    <n v="10"/>
    <x v="0"/>
    <s v="No"/>
    <s v="-"/>
    <s v="Yes"/>
    <n v="20"/>
    <n v="2"/>
    <n v="28"/>
    <x v="2"/>
  </r>
  <r>
    <n v="3237"/>
    <s v="Camila Ribeiro"/>
    <x v="0"/>
    <d v="2024-03-03T00:00:00"/>
    <x v="0"/>
    <n v="15"/>
    <x v="2"/>
    <s v="Yes"/>
    <n v="30"/>
    <s v="Yes"/>
    <n v="20"/>
    <n v="10"/>
    <n v="55"/>
    <x v="2"/>
  </r>
  <r>
    <n v="3238"/>
    <s v="André Mendes"/>
    <x v="1"/>
    <d v="2024-03-04T00:00:00"/>
    <x v="0"/>
    <n v="5"/>
    <x v="1"/>
    <s v="No"/>
    <s v="-"/>
    <s v="No"/>
    <n v="0"/>
    <n v="0"/>
    <n v="5"/>
    <x v="2"/>
  </r>
  <r>
    <n v="3239"/>
    <s v="Sofia Almeida"/>
    <x v="0"/>
    <d v="2024-03-05T00:00:00"/>
    <x v="1"/>
    <n v="15"/>
    <x v="0"/>
    <s v="Yes"/>
    <n v="30"/>
    <s v="Yes"/>
    <n v="20"/>
    <n v="5"/>
    <n v="60"/>
    <x v="2"/>
  </r>
  <r>
    <n v="3240"/>
    <s v="Bruno Martins"/>
    <x v="2"/>
    <d v="2024-03-06T00:00:00"/>
    <x v="0"/>
    <n v="10"/>
    <x v="2"/>
    <s v="No"/>
    <s v="-"/>
    <s v="Yes"/>
    <n v="20"/>
    <n v="15"/>
    <n v="15"/>
    <x v="2"/>
  </r>
  <r>
    <n v="3241"/>
    <s v="Rita Castro"/>
    <x v="1"/>
    <d v="2024-03-07T00:00:00"/>
    <x v="1"/>
    <n v="5"/>
    <x v="0"/>
    <s v="No"/>
    <s v="-"/>
    <s v="No"/>
    <n v="0"/>
    <n v="1"/>
    <n v="4"/>
    <x v="2"/>
  </r>
  <r>
    <n v="3242"/>
    <s v="Marco Túlio"/>
    <x v="0"/>
    <d v="2024-03-08T00:00:00"/>
    <x v="0"/>
    <n v="15"/>
    <x v="1"/>
    <s v="Yes"/>
    <n v="30"/>
    <s v="Yes"/>
    <n v="20"/>
    <n v="20"/>
    <n v="45"/>
    <x v="2"/>
  </r>
  <r>
    <n v="3243"/>
    <s v="Lívia Silveira"/>
    <x v="2"/>
    <d v="2024-03-09T00:00:00"/>
    <x v="1"/>
    <n v="10"/>
    <x v="0"/>
    <s v="No"/>
    <s v="-"/>
    <s v="Yes"/>
    <n v="20"/>
    <n v="10"/>
    <n v="20"/>
    <x v="2"/>
  </r>
  <r>
    <n v="3244"/>
    <s v="Diogo Sousa"/>
    <x v="1"/>
    <d v="2024-03-10T00:00:00"/>
    <x v="0"/>
    <n v="5"/>
    <x v="2"/>
    <s v="No"/>
    <s v="-"/>
    <s v="No"/>
    <n v="0"/>
    <n v="0"/>
    <n v="5"/>
    <x v="2"/>
  </r>
  <r>
    <n v="3245"/>
    <s v="Fernanda Lima"/>
    <x v="0"/>
    <d v="2024-03-11T00:00:00"/>
    <x v="1"/>
    <n v="15"/>
    <x v="0"/>
    <s v="Yes"/>
    <n v="30"/>
    <s v="Yes"/>
    <n v="20"/>
    <n v="8"/>
    <n v="57"/>
    <x v="2"/>
  </r>
  <r>
    <n v="3246"/>
    <s v="Caio Pereira"/>
    <x v="2"/>
    <d v="2024-03-12T00:00:00"/>
    <x v="0"/>
    <n v="10"/>
    <x v="1"/>
    <s v="No"/>
    <s v="-"/>
    <s v="Yes"/>
    <n v="20"/>
    <n v="12"/>
    <n v="18"/>
    <x v="2"/>
  </r>
  <r>
    <n v="3247"/>
    <s v="Beatriz Gomes"/>
    <x v="1"/>
    <d v="2024-03-13T00:00:00"/>
    <x v="1"/>
    <n v="5"/>
    <x v="0"/>
    <s v="No"/>
    <s v="-"/>
    <s v="No"/>
    <n v="0"/>
    <n v="2"/>
    <n v="3"/>
    <x v="2"/>
  </r>
  <r>
    <n v="3248"/>
    <s v="Cesar Oliveira"/>
    <x v="0"/>
    <d v="2024-03-14T00:00:00"/>
    <x v="0"/>
    <n v="15"/>
    <x v="2"/>
    <s v="Yes"/>
    <n v="30"/>
    <s v="Yes"/>
    <n v="20"/>
    <n v="7"/>
    <n v="58"/>
    <x v="2"/>
  </r>
  <r>
    <n v="3249"/>
    <s v="Débora Machado"/>
    <x v="2"/>
    <d v="2024-03-15T00:00:00"/>
    <x v="1"/>
    <n v="10"/>
    <x v="0"/>
    <s v="No"/>
    <s v="-"/>
    <s v="Yes"/>
    <n v="20"/>
    <n v="5"/>
    <n v="25"/>
    <x v="2"/>
  </r>
  <r>
    <n v="3250"/>
    <s v="Eduardo Vargas"/>
    <x v="1"/>
    <d v="2024-03-16T00:00:00"/>
    <x v="0"/>
    <n v="5"/>
    <x v="1"/>
    <s v="No"/>
    <s v="-"/>
    <s v="No"/>
    <n v="0"/>
    <n v="0"/>
    <n v="5"/>
    <x v="2"/>
  </r>
  <r>
    <n v="3251"/>
    <s v="Gabriela Santos"/>
    <x v="0"/>
    <d v="2024-03-17T00:00:00"/>
    <x v="1"/>
    <n v="15"/>
    <x v="0"/>
    <s v="Yes"/>
    <n v="30"/>
    <s v="Yes"/>
    <n v="20"/>
    <n v="3"/>
    <n v="62"/>
    <x v="2"/>
  </r>
  <r>
    <n v="3252"/>
    <s v="Henrique Dias"/>
    <x v="2"/>
    <d v="2024-03-18T00:00:00"/>
    <x v="0"/>
    <n v="10"/>
    <x v="2"/>
    <s v="No"/>
    <s v="-"/>
    <s v="Yes"/>
    <n v="20"/>
    <n v="15"/>
    <n v="15"/>
    <x v="2"/>
  </r>
  <r>
    <n v="3253"/>
    <s v="Isabela Moreira"/>
    <x v="1"/>
    <d v="2024-03-19T00:00:00"/>
    <x v="1"/>
    <n v="5"/>
    <x v="0"/>
    <s v="No"/>
    <s v="-"/>
    <s v="No"/>
    <n v="0"/>
    <n v="1"/>
    <n v="4"/>
    <x v="2"/>
  </r>
  <r>
    <n v="3254"/>
    <s v="Joaquim Barbosa"/>
    <x v="0"/>
    <d v="2024-03-20T00:00:00"/>
    <x v="0"/>
    <n v="15"/>
    <x v="1"/>
    <s v="Yes"/>
    <n v="30"/>
    <s v="Yes"/>
    <n v="20"/>
    <n v="20"/>
    <n v="45"/>
    <x v="2"/>
  </r>
  <r>
    <n v="3255"/>
    <s v="Lara Rocha"/>
    <x v="2"/>
    <d v="2024-03-21T00:00:00"/>
    <x v="1"/>
    <n v="10"/>
    <x v="0"/>
    <s v="No"/>
    <s v="-"/>
    <s v="Yes"/>
    <n v="20"/>
    <n v="10"/>
    <n v="20"/>
    <x v="2"/>
  </r>
  <r>
    <n v="3256"/>
    <s v="Matheus Silva"/>
    <x v="1"/>
    <d v="2024-03-22T00:00:00"/>
    <x v="0"/>
    <n v="5"/>
    <x v="2"/>
    <s v="No"/>
    <s v="-"/>
    <s v="No"/>
    <n v="0"/>
    <n v="0"/>
    <n v="5"/>
    <x v="2"/>
  </r>
  <r>
    <n v="3257"/>
    <s v="Nicole Costa"/>
    <x v="0"/>
    <d v="2024-03-23T00:00:00"/>
    <x v="1"/>
    <n v="15"/>
    <x v="0"/>
    <s v="Yes"/>
    <n v="30"/>
    <s v="Yes"/>
    <n v="20"/>
    <n v="5"/>
    <n v="60"/>
    <x v="2"/>
  </r>
  <r>
    <n v="3258"/>
    <s v="Otávio Mendonça"/>
    <x v="2"/>
    <d v="2024-03-24T00:00:00"/>
    <x v="0"/>
    <n v="10"/>
    <x v="1"/>
    <s v="No"/>
    <s v="-"/>
    <s v="Yes"/>
    <n v="20"/>
    <n v="15"/>
    <n v="15"/>
    <x v="2"/>
  </r>
  <r>
    <n v="3259"/>
    <s v="Paula Ferreira"/>
    <x v="1"/>
    <d v="2024-03-25T00:00:00"/>
    <x v="1"/>
    <n v="5"/>
    <x v="0"/>
    <s v="No"/>
    <s v="-"/>
    <s v="No"/>
    <n v="0"/>
    <n v="1"/>
    <n v="4"/>
    <x v="2"/>
  </r>
  <r>
    <n v="3260"/>
    <s v="Raquel Alves"/>
    <x v="0"/>
    <d v="2024-03-26T00:00:00"/>
    <x v="0"/>
    <n v="15"/>
    <x v="2"/>
    <s v="Yes"/>
    <n v="30"/>
    <s v="Yes"/>
    <n v="20"/>
    <n v="7"/>
    <n v="58"/>
    <x v="2"/>
  </r>
  <r>
    <n v="3261"/>
    <s v="Samuel Pires"/>
    <x v="2"/>
    <d v="2024-03-27T00:00:00"/>
    <x v="1"/>
    <n v="10"/>
    <x v="0"/>
    <s v="No"/>
    <s v="-"/>
    <s v="Yes"/>
    <n v="20"/>
    <n v="10"/>
    <n v="20"/>
    <x v="2"/>
  </r>
  <r>
    <n v="3262"/>
    <s v="Tânia Barros"/>
    <x v="1"/>
    <d v="2024-03-28T00:00:00"/>
    <x v="0"/>
    <n v="5"/>
    <x v="1"/>
    <s v="No"/>
    <s v="-"/>
    <s v="No"/>
    <n v="0"/>
    <n v="0"/>
    <n v="5"/>
    <x v="2"/>
  </r>
  <r>
    <n v="3263"/>
    <s v="Vinicius Lima"/>
    <x v="0"/>
    <d v="2024-03-29T00:00:00"/>
    <x v="1"/>
    <n v="15"/>
    <x v="0"/>
    <s v="Yes"/>
    <n v="30"/>
    <s v="Yes"/>
    <n v="20"/>
    <n v="3"/>
    <n v="62"/>
    <x v="2"/>
  </r>
  <r>
    <n v="3264"/>
    <s v="Yasmin Teixeira"/>
    <x v="2"/>
    <d v="2024-03-30T00:00:00"/>
    <x v="0"/>
    <n v="10"/>
    <x v="2"/>
    <s v="No"/>
    <s v="-"/>
    <s v="Yes"/>
    <n v="20"/>
    <n v="15"/>
    <n v="15"/>
    <x v="2"/>
  </r>
  <r>
    <n v="3265"/>
    <s v="Zé Carlos"/>
    <x v="1"/>
    <d v="2024-03-31T00:00:00"/>
    <x v="1"/>
    <n v="5"/>
    <x v="0"/>
    <s v="No"/>
    <s v="-"/>
    <s v="No"/>
    <n v="0"/>
    <n v="1"/>
    <n v="4"/>
    <x v="2"/>
  </r>
  <r>
    <n v="3266"/>
    <s v="Amanda Nogueira"/>
    <x v="1"/>
    <d v="2024-04-01T00:00:00"/>
    <x v="0"/>
    <n v="5"/>
    <x v="0"/>
    <s v="No"/>
    <s v="-"/>
    <s v="No"/>
    <n v="0"/>
    <n v="0"/>
    <n v="5"/>
    <x v="3"/>
  </r>
  <r>
    <n v="3267"/>
    <s v="Bruno Cavalheiro"/>
    <x v="0"/>
    <d v="2024-04-02T00:00:00"/>
    <x v="1"/>
    <n v="15"/>
    <x v="2"/>
    <s v="Yes"/>
    <n v="30"/>
    <s v="Yes"/>
    <n v="20"/>
    <n v="7"/>
    <n v="58"/>
    <x v="3"/>
  </r>
  <r>
    <n v="3268"/>
    <s v="Carla Dias"/>
    <x v="2"/>
    <d v="2024-04-03T00:00:00"/>
    <x v="0"/>
    <n v="10"/>
    <x v="1"/>
    <s v="No"/>
    <s v="-"/>
    <s v="Yes"/>
    <n v="20"/>
    <n v="10"/>
    <n v="20"/>
    <x v="3"/>
  </r>
  <r>
    <n v="3269"/>
    <s v="Diego Fontes"/>
    <x v="1"/>
    <d v="2024-04-04T00:00:00"/>
    <x v="1"/>
    <n v="5"/>
    <x v="2"/>
    <s v="No"/>
    <s v="-"/>
    <s v="No"/>
    <n v="0"/>
    <n v="1"/>
    <n v="4"/>
    <x v="3"/>
  </r>
  <r>
    <n v="3270"/>
    <s v="Eunice Lima"/>
    <x v="0"/>
    <d v="2024-04-05T00:00:00"/>
    <x v="0"/>
    <n v="15"/>
    <x v="0"/>
    <s v="Yes"/>
    <n v="30"/>
    <s v="Yes"/>
    <n v="20"/>
    <n v="15"/>
    <n v="50"/>
    <x v="3"/>
  </r>
  <r>
    <n v="3271"/>
    <s v="Fábio Martins"/>
    <x v="2"/>
    <d v="2024-04-06T00:00:00"/>
    <x v="1"/>
    <n v="10"/>
    <x v="0"/>
    <s v="No"/>
    <s v="-"/>
    <s v="Yes"/>
    <n v="20"/>
    <n v="5"/>
    <n v="25"/>
    <x v="3"/>
  </r>
  <r>
    <n v="3272"/>
    <s v="Gisele Araújo"/>
    <x v="1"/>
    <d v="2024-04-07T00:00:00"/>
    <x v="0"/>
    <n v="5"/>
    <x v="1"/>
    <s v="No"/>
    <s v="-"/>
    <s v="No"/>
    <n v="0"/>
    <n v="0"/>
    <n v="5"/>
    <x v="3"/>
  </r>
  <r>
    <n v="3273"/>
    <s v="Hélio Castro"/>
    <x v="0"/>
    <d v="2024-04-08T00:00:00"/>
    <x v="1"/>
    <n v="15"/>
    <x v="2"/>
    <s v="Yes"/>
    <n v="30"/>
    <s v="Yes"/>
    <n v="20"/>
    <n v="20"/>
    <n v="45"/>
    <x v="3"/>
  </r>
  <r>
    <n v="3274"/>
    <s v="Ingrid Menezes"/>
    <x v="2"/>
    <d v="2024-04-09T00:00:00"/>
    <x v="0"/>
    <n v="10"/>
    <x v="2"/>
    <s v="No"/>
    <s v="-"/>
    <s v="Yes"/>
    <n v="20"/>
    <n v="12"/>
    <n v="18"/>
    <x v="3"/>
  </r>
  <r>
    <n v="3275"/>
    <s v="Jorge Baptista"/>
    <x v="1"/>
    <d v="2024-04-10T00:00:00"/>
    <x v="1"/>
    <n v="5"/>
    <x v="0"/>
    <s v="No"/>
    <s v="-"/>
    <s v="No"/>
    <n v="0"/>
    <n v="2"/>
    <n v="3"/>
    <x v="3"/>
  </r>
  <r>
    <n v="3276"/>
    <s v="Kléber Oliveira"/>
    <x v="0"/>
    <d v="2024-04-11T00:00:00"/>
    <x v="0"/>
    <n v="15"/>
    <x v="1"/>
    <s v="Yes"/>
    <n v="30"/>
    <s v="Yes"/>
    <n v="20"/>
    <n v="5"/>
    <n v="60"/>
    <x v="3"/>
  </r>
  <r>
    <n v="3277"/>
    <s v="Luciana Freitas"/>
    <x v="2"/>
    <d v="2024-04-12T00:00:00"/>
    <x v="1"/>
    <n v="10"/>
    <x v="0"/>
    <s v="No"/>
    <s v="-"/>
    <s v="Yes"/>
    <n v="20"/>
    <n v="10"/>
    <n v="20"/>
    <x v="3"/>
  </r>
  <r>
    <n v="3278"/>
    <s v="Márcia Eller"/>
    <x v="1"/>
    <d v="2024-04-13T00:00:00"/>
    <x v="0"/>
    <n v="5"/>
    <x v="2"/>
    <s v="No"/>
    <s v="-"/>
    <s v="No"/>
    <n v="0"/>
    <n v="0"/>
    <n v="5"/>
    <x v="3"/>
  </r>
  <r>
    <n v="3279"/>
    <s v="Nilo Peçanha"/>
    <x v="0"/>
    <d v="2024-04-14T00:00:00"/>
    <x v="1"/>
    <n v="15"/>
    <x v="0"/>
    <s v="Yes"/>
    <n v="30"/>
    <s v="Yes"/>
    <n v="20"/>
    <n v="3"/>
    <n v="62"/>
    <x v="3"/>
  </r>
  <r>
    <n v="3280"/>
    <s v="Oscar Neves"/>
    <x v="2"/>
    <d v="2024-04-15T00:00:00"/>
    <x v="0"/>
    <n v="10"/>
    <x v="1"/>
    <s v="No"/>
    <s v="-"/>
    <s v="Yes"/>
    <n v="20"/>
    <n v="15"/>
    <n v="15"/>
    <x v="3"/>
  </r>
  <r>
    <n v="3281"/>
    <s v="Patrícia Soares"/>
    <x v="1"/>
    <d v="2024-04-16T00:00:00"/>
    <x v="1"/>
    <n v="5"/>
    <x v="0"/>
    <s v="No"/>
    <s v="-"/>
    <s v="No"/>
    <n v="0"/>
    <n v="1"/>
    <n v="4"/>
    <x v="3"/>
  </r>
  <r>
    <n v="3282"/>
    <s v="Quirino Gonçalves"/>
    <x v="0"/>
    <d v="2024-04-17T00:00:00"/>
    <x v="0"/>
    <n v="15"/>
    <x v="2"/>
    <s v="Yes"/>
    <n v="30"/>
    <s v="Yes"/>
    <n v="20"/>
    <n v="7"/>
    <n v="58"/>
    <x v="3"/>
  </r>
  <r>
    <n v="3283"/>
    <s v="Raul Machado"/>
    <x v="2"/>
    <d v="2024-04-18T00:00:00"/>
    <x v="1"/>
    <n v="10"/>
    <x v="0"/>
    <s v="No"/>
    <s v="-"/>
    <s v="Yes"/>
    <n v="20"/>
    <n v="10"/>
    <n v="20"/>
    <x v="3"/>
  </r>
  <r>
    <n v="3284"/>
    <s v="Sônia Lobo"/>
    <x v="1"/>
    <d v="2024-04-19T00:00:00"/>
    <x v="0"/>
    <n v="5"/>
    <x v="1"/>
    <s v="No"/>
    <s v="-"/>
    <s v="No"/>
    <n v="0"/>
    <n v="0"/>
    <n v="5"/>
    <x v="3"/>
  </r>
  <r>
    <n v="3285"/>
    <s v="Tiago Ramos"/>
    <x v="0"/>
    <d v="2024-04-20T00:00:00"/>
    <x v="1"/>
    <n v="15"/>
    <x v="0"/>
    <s v="Yes"/>
    <n v="30"/>
    <s v="Yes"/>
    <n v="20"/>
    <n v="20"/>
    <n v="45"/>
    <x v="3"/>
  </r>
  <r>
    <n v="3286"/>
    <s v="Ugo Pires"/>
    <x v="2"/>
    <d v="2024-04-21T00:00:00"/>
    <x v="0"/>
    <n v="10"/>
    <x v="2"/>
    <s v="No"/>
    <s v="-"/>
    <s v="Yes"/>
    <n v="20"/>
    <n v="15"/>
    <n v="15"/>
    <x v="3"/>
  </r>
  <r>
    <n v="3287"/>
    <s v="Valéria Nobre"/>
    <x v="1"/>
    <d v="2024-04-22T00:00:00"/>
    <x v="1"/>
    <n v="5"/>
    <x v="0"/>
    <s v="No"/>
    <s v="-"/>
    <s v="No"/>
    <n v="0"/>
    <n v="1"/>
    <n v="4"/>
    <x v="3"/>
  </r>
  <r>
    <n v="3288"/>
    <s v="William Siqueira"/>
    <x v="0"/>
    <d v="2024-04-23T00:00:00"/>
    <x v="0"/>
    <n v="15"/>
    <x v="1"/>
    <s v="Yes"/>
    <n v="30"/>
    <s v="Yes"/>
    <n v="20"/>
    <n v="3"/>
    <n v="62"/>
    <x v="3"/>
  </r>
  <r>
    <n v="3289"/>
    <s v="Xuxa Meneghel"/>
    <x v="2"/>
    <d v="2024-04-24T00:00:00"/>
    <x v="1"/>
    <n v="10"/>
    <x v="0"/>
    <s v="No"/>
    <s v="-"/>
    <s v="Yes"/>
    <n v="20"/>
    <n v="10"/>
    <n v="20"/>
    <x v="3"/>
  </r>
  <r>
    <n v="3290"/>
    <s v="Yara Figueiredo"/>
    <x v="1"/>
    <d v="2024-04-25T00:00:00"/>
    <x v="0"/>
    <n v="5"/>
    <x v="2"/>
    <s v="No"/>
    <s v="-"/>
    <s v="No"/>
    <n v="0"/>
    <n v="0"/>
    <n v="5"/>
    <x v="3"/>
  </r>
  <r>
    <n v="3291"/>
    <s v="Zacarias Alves"/>
    <x v="0"/>
    <d v="2024-04-26T00:00:00"/>
    <x v="1"/>
    <n v="15"/>
    <x v="0"/>
    <s v="Yes"/>
    <n v="30"/>
    <s v="Yes"/>
    <n v="20"/>
    <n v="5"/>
    <n v="60"/>
    <x v="3"/>
  </r>
  <r>
    <n v="3292"/>
    <s v="Amanda Bynes"/>
    <x v="2"/>
    <d v="2024-04-27T00:00:00"/>
    <x v="0"/>
    <n v="10"/>
    <x v="1"/>
    <s v="No"/>
    <s v="-"/>
    <s v="Yes"/>
    <n v="20"/>
    <n v="15"/>
    <n v="15"/>
    <x v="3"/>
  </r>
  <r>
    <n v="3293"/>
    <s v="Bruno Mars"/>
    <x v="1"/>
    <d v="2024-04-28T00:00:00"/>
    <x v="1"/>
    <n v="5"/>
    <x v="0"/>
    <s v="No"/>
    <s v="-"/>
    <s v="No"/>
    <n v="0"/>
    <n v="1"/>
    <n v="4"/>
    <x v="3"/>
  </r>
  <r>
    <n v="3294"/>
    <s v="Carla Bruni"/>
    <x v="0"/>
    <d v="2024-04-29T00:00:00"/>
    <x v="0"/>
    <n v="15"/>
    <x v="2"/>
    <s v="Yes"/>
    <n v="30"/>
    <s v="Yes"/>
    <n v="20"/>
    <n v="20"/>
    <n v="45"/>
    <x v="3"/>
  </r>
  <r>
    <n v="3295"/>
    <s v="Diego Maradona"/>
    <x v="2"/>
    <d v="2024-04-30T00:00:00"/>
    <x v="1"/>
    <n v="10"/>
    <x v="0"/>
    <s v="No"/>
    <s v="-"/>
    <s v="Yes"/>
    <n v="20"/>
    <n v="5"/>
    <n v="25"/>
    <x v="3"/>
  </r>
  <r>
    <n v="3296"/>
    <s v="Estela Marques"/>
    <x v="1"/>
    <d v="2024-05-01T00:00:00"/>
    <x v="1"/>
    <n v="5"/>
    <x v="0"/>
    <s v="No"/>
    <s v="-"/>
    <s v="No"/>
    <n v="0"/>
    <n v="0"/>
    <n v="5"/>
    <x v="4"/>
  </r>
  <r>
    <n v="3297"/>
    <s v="Fábio Nobre"/>
    <x v="0"/>
    <d v="2024-05-02T00:00:00"/>
    <x v="0"/>
    <n v="15"/>
    <x v="2"/>
    <s v="Yes"/>
    <n v="30"/>
    <s v="Yes"/>
    <n v="20"/>
    <n v="7"/>
    <n v="58"/>
    <x v="4"/>
  </r>
  <r>
    <n v="3298"/>
    <s v="Gabriel Oliveira"/>
    <x v="2"/>
    <d v="2024-05-03T00:00:00"/>
    <x v="1"/>
    <n v="10"/>
    <x v="1"/>
    <s v="No"/>
    <s v="-"/>
    <s v="Yes"/>
    <n v="20"/>
    <n v="10"/>
    <n v="20"/>
    <x v="4"/>
  </r>
  <r>
    <n v="3299"/>
    <s v="Helena Santos"/>
    <x v="1"/>
    <d v="2024-05-04T00:00:00"/>
    <x v="0"/>
    <n v="5"/>
    <x v="2"/>
    <s v="No"/>
    <s v="-"/>
    <s v="No"/>
    <n v="0"/>
    <n v="1"/>
    <n v="4"/>
    <x v="4"/>
  </r>
  <r>
    <n v="3300"/>
    <s v="Ivan Carvalho"/>
    <x v="0"/>
    <d v="2024-05-05T00:00:00"/>
    <x v="1"/>
    <n v="15"/>
    <x v="0"/>
    <s v="Yes"/>
    <n v="30"/>
    <s v="Yes"/>
    <n v="20"/>
    <n v="15"/>
    <n v="50"/>
    <x v="4"/>
  </r>
  <r>
    <n v="3301"/>
    <s v="Júlia Ferreira"/>
    <x v="2"/>
    <d v="2024-05-06T00:00:00"/>
    <x v="0"/>
    <n v="10"/>
    <x v="0"/>
    <s v="No"/>
    <s v="-"/>
    <s v="Yes"/>
    <n v="20"/>
    <n v="5"/>
    <n v="25"/>
    <x v="4"/>
  </r>
  <r>
    <n v="3302"/>
    <s v="Karla Alves"/>
    <x v="1"/>
    <d v="2024-05-07T00:00:00"/>
    <x v="1"/>
    <n v="5"/>
    <x v="1"/>
    <s v="No"/>
    <s v="-"/>
    <s v="No"/>
    <n v="0"/>
    <n v="0"/>
    <n v="5"/>
    <x v="4"/>
  </r>
  <r>
    <n v="3303"/>
    <s v="Lucas Mendes"/>
    <x v="0"/>
    <d v="2024-05-08T00:00:00"/>
    <x v="0"/>
    <n v="15"/>
    <x v="2"/>
    <s v="Yes"/>
    <n v="30"/>
    <s v="Yes"/>
    <n v="20"/>
    <n v="20"/>
    <n v="45"/>
    <x v="4"/>
  </r>
  <r>
    <n v="3304"/>
    <s v="Mônica Gomes"/>
    <x v="2"/>
    <d v="2024-05-09T00:00:00"/>
    <x v="1"/>
    <n v="10"/>
    <x v="2"/>
    <s v="No"/>
    <s v="-"/>
    <s v="Yes"/>
    <n v="20"/>
    <n v="12"/>
    <n v="18"/>
    <x v="4"/>
  </r>
  <r>
    <n v="3305"/>
    <s v="Norberto Queiroz"/>
    <x v="1"/>
    <d v="2024-05-10T00:00:00"/>
    <x v="0"/>
    <n v="5"/>
    <x v="0"/>
    <s v="No"/>
    <s v="-"/>
    <s v="No"/>
    <n v="0"/>
    <n v="2"/>
    <n v="3"/>
    <x v="4"/>
  </r>
  <r>
    <n v="3306"/>
    <s v="Otávio Barros"/>
    <x v="0"/>
    <d v="2024-05-11T00:00:00"/>
    <x v="1"/>
    <n v="15"/>
    <x v="1"/>
    <s v="Yes"/>
    <n v="30"/>
    <s v="Yes"/>
    <n v="20"/>
    <n v="5"/>
    <n v="60"/>
    <x v="4"/>
  </r>
  <r>
    <n v="3307"/>
    <s v="Paula Vieira"/>
    <x v="2"/>
    <d v="2024-05-12T00:00:00"/>
    <x v="0"/>
    <n v="10"/>
    <x v="0"/>
    <s v="No"/>
    <s v="-"/>
    <s v="Yes"/>
    <n v="20"/>
    <n v="10"/>
    <n v="20"/>
    <x v="4"/>
  </r>
  <r>
    <n v="3308"/>
    <s v="Quentin Ramos"/>
    <x v="1"/>
    <d v="2024-05-13T00:00:00"/>
    <x v="1"/>
    <n v="5"/>
    <x v="2"/>
    <s v="No"/>
    <s v="-"/>
    <s v="No"/>
    <n v="0"/>
    <n v="0"/>
    <n v="5"/>
    <x v="4"/>
  </r>
  <r>
    <n v="3309"/>
    <s v="Raquel Novaes"/>
    <x v="0"/>
    <d v="2024-05-14T00:00:00"/>
    <x v="0"/>
    <n v="15"/>
    <x v="0"/>
    <s v="Yes"/>
    <n v="30"/>
    <s v="Yes"/>
    <n v="20"/>
    <n v="3"/>
    <n v="62"/>
    <x v="4"/>
  </r>
  <r>
    <n v="3310"/>
    <s v="Samantha Lopes"/>
    <x v="2"/>
    <d v="2024-05-15T00:00:00"/>
    <x v="1"/>
    <n v="10"/>
    <x v="1"/>
    <s v="No"/>
    <s v="-"/>
    <s v="Yes"/>
    <n v="20"/>
    <n v="15"/>
    <n v="15"/>
    <x v="4"/>
  </r>
  <r>
    <n v="3311"/>
    <s v="Tiago Martins"/>
    <x v="1"/>
    <d v="2024-05-16T00:00:00"/>
    <x v="0"/>
    <n v="5"/>
    <x v="0"/>
    <s v="No"/>
    <s v="-"/>
    <s v="No"/>
    <n v="0"/>
    <n v="1"/>
    <n v="4"/>
    <x v="4"/>
  </r>
  <r>
    <n v="3312"/>
    <s v="Ulysses Guimarães"/>
    <x v="0"/>
    <d v="2024-05-17T00:00:00"/>
    <x v="1"/>
    <n v="15"/>
    <x v="2"/>
    <s v="Yes"/>
    <n v="30"/>
    <s v="Yes"/>
    <n v="20"/>
    <n v="7"/>
    <n v="58"/>
    <x v="4"/>
  </r>
  <r>
    <n v="3313"/>
    <s v="Vanessa Silva"/>
    <x v="2"/>
    <d v="2024-05-18T00:00:00"/>
    <x v="0"/>
    <n v="10"/>
    <x v="0"/>
    <s v="No"/>
    <s v="-"/>
    <s v="Yes"/>
    <n v="20"/>
    <n v="10"/>
    <n v="20"/>
    <x v="4"/>
  </r>
  <r>
    <n v="3314"/>
    <s v="William Carneiro"/>
    <x v="1"/>
    <d v="2024-05-19T00:00:00"/>
    <x v="1"/>
    <n v="5"/>
    <x v="1"/>
    <s v="No"/>
    <s v="-"/>
    <s v="No"/>
    <n v="0"/>
    <n v="0"/>
    <n v="5"/>
    <x v="4"/>
  </r>
  <r>
    <n v="3315"/>
    <s v="Ximena Rocha"/>
    <x v="0"/>
    <d v="2024-05-20T00:00:00"/>
    <x v="0"/>
    <n v="15"/>
    <x v="0"/>
    <s v="Yes"/>
    <n v="30"/>
    <s v="Yes"/>
    <n v="20"/>
    <n v="20"/>
    <n v="45"/>
    <x v="4"/>
  </r>
  <r>
    <n v="3316"/>
    <s v="Yasmin Figueiredo"/>
    <x v="2"/>
    <d v="2024-05-21T00:00:00"/>
    <x v="1"/>
    <n v="10"/>
    <x v="2"/>
    <s v="No"/>
    <s v="-"/>
    <s v="Yes"/>
    <n v="20"/>
    <n v="15"/>
    <n v="15"/>
    <x v="4"/>
  </r>
  <r>
    <n v="3317"/>
    <s v="Zara Cunha"/>
    <x v="1"/>
    <d v="2024-05-22T00:00:00"/>
    <x v="0"/>
    <n v="5"/>
    <x v="0"/>
    <s v="No"/>
    <s v="-"/>
    <s v="No"/>
    <n v="0"/>
    <n v="1"/>
    <n v="4"/>
    <x v="4"/>
  </r>
  <r>
    <n v="3318"/>
    <s v="Alan Teixeira"/>
    <x v="0"/>
    <d v="2024-05-23T00:00:00"/>
    <x v="1"/>
    <n v="15"/>
    <x v="1"/>
    <s v="Yes"/>
    <n v="30"/>
    <s v="Yes"/>
    <n v="20"/>
    <n v="3"/>
    <n v="62"/>
    <x v="4"/>
  </r>
  <r>
    <n v="3319"/>
    <s v="Bárbara Oliveira"/>
    <x v="2"/>
    <d v="2024-05-24T00:00:00"/>
    <x v="0"/>
    <n v="10"/>
    <x v="0"/>
    <s v="No"/>
    <s v="-"/>
    <s v="Yes"/>
    <n v="20"/>
    <n v="10"/>
    <n v="20"/>
    <x v="4"/>
  </r>
  <r>
    <n v="3320"/>
    <s v="Carlos Junqueira"/>
    <x v="1"/>
    <d v="2024-05-25T00:00:00"/>
    <x v="1"/>
    <n v="5"/>
    <x v="2"/>
    <s v="No"/>
    <s v="-"/>
    <s v="No"/>
    <n v="0"/>
    <n v="0"/>
    <n v="5"/>
    <x v="4"/>
  </r>
  <r>
    <n v="3321"/>
    <s v="Daniela Moura"/>
    <x v="0"/>
    <d v="2024-05-26T00:00:00"/>
    <x v="0"/>
    <n v="15"/>
    <x v="0"/>
    <s v="Yes"/>
    <n v="30"/>
    <s v="Yes"/>
    <n v="20"/>
    <n v="5"/>
    <n v="60"/>
    <x v="4"/>
  </r>
  <r>
    <n v="3322"/>
    <s v="Eduardo Lima"/>
    <x v="2"/>
    <d v="2024-05-27T00:00:00"/>
    <x v="1"/>
    <n v="10"/>
    <x v="1"/>
    <s v="No"/>
    <s v="-"/>
    <s v="Yes"/>
    <n v="20"/>
    <n v="15"/>
    <n v="15"/>
    <x v="4"/>
  </r>
  <r>
    <n v="3323"/>
    <s v="Fabiana Araújo"/>
    <x v="1"/>
    <d v="2024-05-28T00:00:00"/>
    <x v="0"/>
    <n v="5"/>
    <x v="0"/>
    <s v="No"/>
    <s v="-"/>
    <s v="No"/>
    <n v="0"/>
    <n v="1"/>
    <n v="4"/>
    <x v="4"/>
  </r>
  <r>
    <n v="3324"/>
    <s v="Geraldo Ribeiro"/>
    <x v="0"/>
    <d v="2024-05-29T00:00:00"/>
    <x v="1"/>
    <n v="15"/>
    <x v="2"/>
    <s v="Yes"/>
    <n v="30"/>
    <s v="Yes"/>
    <n v="20"/>
    <n v="20"/>
    <n v="45"/>
    <x v="4"/>
  </r>
  <r>
    <n v="3325"/>
    <s v="Héctor Vargas"/>
    <x v="2"/>
    <d v="2024-05-30T00:00:00"/>
    <x v="0"/>
    <n v="10"/>
    <x v="2"/>
    <s v="No"/>
    <s v="-"/>
    <s v="Yes"/>
    <n v="20"/>
    <n v="15"/>
    <n v="15"/>
    <x v="4"/>
  </r>
  <r>
    <n v="3326"/>
    <s v="Isabela Fonseca"/>
    <x v="1"/>
    <d v="2024-05-31T00:00:00"/>
    <x v="1"/>
    <n v="5"/>
    <x v="1"/>
    <s v="No"/>
    <s v="-"/>
    <s v="No"/>
    <n v="0"/>
    <n v="0"/>
    <n v="5"/>
    <x v="4"/>
  </r>
  <r>
    <n v="3327"/>
    <s v="João Pedro Almeida"/>
    <x v="0"/>
    <d v="2024-06-01T00:00:00"/>
    <x v="0"/>
    <n v="15"/>
    <x v="0"/>
    <s v="Yes"/>
    <n v="30"/>
    <s v="Yes"/>
    <n v="20"/>
    <n v="7"/>
    <n v="58"/>
    <x v="5"/>
  </r>
  <r>
    <n v="3328"/>
    <s v="Klara Costa"/>
    <x v="2"/>
    <d v="2024-06-02T00:00:00"/>
    <x v="1"/>
    <n v="10"/>
    <x v="1"/>
    <s v="No"/>
    <s v="-"/>
    <s v="Yes"/>
    <n v="20"/>
    <n v="10"/>
    <n v="20"/>
    <x v="5"/>
  </r>
  <r>
    <n v="3329"/>
    <s v="Luciana Mendes"/>
    <x v="1"/>
    <d v="2024-06-03T00:00:00"/>
    <x v="0"/>
    <n v="5"/>
    <x v="2"/>
    <s v="No"/>
    <s v="-"/>
    <s v="No"/>
    <n v="0"/>
    <n v="1"/>
    <n v="4"/>
    <x v="5"/>
  </r>
  <r>
    <n v="3330"/>
    <s v="Marcelo Gouveia"/>
    <x v="0"/>
    <d v="2024-06-04T00:00:00"/>
    <x v="1"/>
    <n v="15"/>
    <x v="0"/>
    <s v="Yes"/>
    <n v="30"/>
    <s v="Yes"/>
    <n v="20"/>
    <n v="15"/>
    <n v="50"/>
    <x v="5"/>
  </r>
  <r>
    <n v="3331"/>
    <s v="Nívea Borges"/>
    <x v="2"/>
    <d v="2024-06-05T00:00:00"/>
    <x v="0"/>
    <n v="10"/>
    <x v="0"/>
    <s v="No"/>
    <s v="-"/>
    <s v="Yes"/>
    <n v="20"/>
    <n v="5"/>
    <n v="25"/>
    <x v="5"/>
  </r>
  <r>
    <n v="3332"/>
    <s v="Oscar Nogueira"/>
    <x v="1"/>
    <d v="2024-06-06T00:00:00"/>
    <x v="1"/>
    <n v="5"/>
    <x v="1"/>
    <s v="No"/>
    <s v="-"/>
    <s v="No"/>
    <n v="0"/>
    <n v="0"/>
    <n v="5"/>
    <x v="5"/>
  </r>
  <r>
    <n v="3333"/>
    <s v="Patrícia Alves"/>
    <x v="0"/>
    <d v="2024-06-07T00:00:00"/>
    <x v="0"/>
    <n v="15"/>
    <x v="2"/>
    <s v="Yes"/>
    <n v="30"/>
    <s v="Yes"/>
    <n v="20"/>
    <n v="20"/>
    <n v="45"/>
    <x v="5"/>
  </r>
  <r>
    <n v="3334"/>
    <s v="Rafaela Silva"/>
    <x v="2"/>
    <d v="2024-06-08T00:00:00"/>
    <x v="1"/>
    <n v="10"/>
    <x v="2"/>
    <s v="No"/>
    <s v="-"/>
    <s v="Yes"/>
    <n v="20"/>
    <n v="12"/>
    <n v="18"/>
    <x v="5"/>
  </r>
  <r>
    <n v="3335"/>
    <s v="Samantha Moraes"/>
    <x v="1"/>
    <d v="2024-06-09T00:00:00"/>
    <x v="0"/>
    <n v="5"/>
    <x v="0"/>
    <s v="No"/>
    <s v="-"/>
    <s v="No"/>
    <n v="0"/>
    <n v="2"/>
    <n v="3"/>
    <x v="5"/>
  </r>
  <r>
    <n v="3336"/>
    <s v="Tatiana Rocha"/>
    <x v="1"/>
    <d v="2024-06-10T00:00:00"/>
    <x v="0"/>
    <n v="5"/>
    <x v="0"/>
    <s v="No"/>
    <s v="-"/>
    <s v="No"/>
    <n v="0"/>
    <n v="0"/>
    <n v="5"/>
    <x v="5"/>
  </r>
  <r>
    <n v="3337"/>
    <s v="Ulisses Tavares"/>
    <x v="0"/>
    <d v="2024-06-11T00:00:00"/>
    <x v="1"/>
    <n v="15"/>
    <x v="2"/>
    <s v="Yes"/>
    <n v="30"/>
    <s v="Yes"/>
    <n v="20"/>
    <n v="7"/>
    <n v="58"/>
    <x v="5"/>
  </r>
  <r>
    <n v="3338"/>
    <s v="Víctor Lemos"/>
    <x v="2"/>
    <d v="2024-06-12T00:00:00"/>
    <x v="0"/>
    <n v="10"/>
    <x v="1"/>
    <s v="No"/>
    <s v="-"/>
    <s v="Yes"/>
    <n v="20"/>
    <n v="10"/>
    <n v="20"/>
    <x v="5"/>
  </r>
  <r>
    <n v="3339"/>
    <s v="Wilma Barros"/>
    <x v="1"/>
    <d v="2024-06-13T00:00:00"/>
    <x v="1"/>
    <n v="5"/>
    <x v="2"/>
    <s v="No"/>
    <s v="-"/>
    <s v="No"/>
    <n v="0"/>
    <n v="1"/>
    <n v="4"/>
    <x v="5"/>
  </r>
  <r>
    <n v="3340"/>
    <s v="Xavier Nascimento"/>
    <x v="0"/>
    <d v="2024-06-14T00:00:00"/>
    <x v="0"/>
    <n v="15"/>
    <x v="0"/>
    <s v="Yes"/>
    <n v="30"/>
    <s v="Yes"/>
    <n v="20"/>
    <n v="15"/>
    <n v="50"/>
    <x v="5"/>
  </r>
  <r>
    <n v="3341"/>
    <s v="Yago Pereira"/>
    <x v="2"/>
    <d v="2024-06-15T00:00:00"/>
    <x v="1"/>
    <n v="10"/>
    <x v="0"/>
    <s v="No"/>
    <s v="-"/>
    <s v="Yes"/>
    <n v="20"/>
    <n v="5"/>
    <n v="25"/>
    <x v="5"/>
  </r>
  <r>
    <n v="3342"/>
    <s v="Zilda Ferreira"/>
    <x v="1"/>
    <d v="2024-06-16T00:00:00"/>
    <x v="0"/>
    <n v="5"/>
    <x v="1"/>
    <s v="No"/>
    <s v="-"/>
    <s v="No"/>
    <n v="0"/>
    <n v="0"/>
    <n v="5"/>
    <x v="5"/>
  </r>
  <r>
    <n v="3343"/>
    <s v="Amanda Lopes"/>
    <x v="0"/>
    <d v="2024-06-17T00:00:00"/>
    <x v="1"/>
    <n v="15"/>
    <x v="2"/>
    <s v="Yes"/>
    <n v="30"/>
    <s v="Yes"/>
    <n v="20"/>
    <n v="20"/>
    <n v="45"/>
    <x v="5"/>
  </r>
  <r>
    <n v="3344"/>
    <s v="Bruno Miranda"/>
    <x v="2"/>
    <d v="2024-06-18T00:00:00"/>
    <x v="0"/>
    <n v="10"/>
    <x v="2"/>
    <s v="No"/>
    <s v="-"/>
    <s v="Yes"/>
    <n v="20"/>
    <n v="12"/>
    <n v="18"/>
    <x v="5"/>
  </r>
  <r>
    <n v="3345"/>
    <s v="Célia Torres"/>
    <x v="1"/>
    <d v="2024-06-19T00:00:00"/>
    <x v="1"/>
    <n v="5"/>
    <x v="0"/>
    <s v="No"/>
    <s v="-"/>
    <s v="No"/>
    <n v="0"/>
    <n v="2"/>
    <n v="3"/>
    <x v="5"/>
  </r>
  <r>
    <n v="3346"/>
    <s v="Diogo Souza"/>
    <x v="0"/>
    <d v="2024-06-20T00:00:00"/>
    <x v="0"/>
    <n v="15"/>
    <x v="1"/>
    <s v="Yes"/>
    <n v="30"/>
    <s v="Yes"/>
    <n v="20"/>
    <n v="5"/>
    <n v="60"/>
    <x v="5"/>
  </r>
  <r>
    <n v="3347"/>
    <s v="Elisa Castro"/>
    <x v="2"/>
    <d v="2024-06-21T00:00:00"/>
    <x v="1"/>
    <n v="10"/>
    <x v="0"/>
    <s v="No"/>
    <s v="-"/>
    <s v="Yes"/>
    <n v="20"/>
    <n v="10"/>
    <n v="20"/>
    <x v="5"/>
  </r>
  <r>
    <n v="3348"/>
    <s v="Fátima Lima"/>
    <x v="1"/>
    <d v="2024-06-22T00:00:00"/>
    <x v="0"/>
    <n v="5"/>
    <x v="2"/>
    <s v="No"/>
    <s v="-"/>
    <s v="No"/>
    <n v="0"/>
    <n v="0"/>
    <n v="5"/>
    <x v="5"/>
  </r>
  <r>
    <n v="3349"/>
    <s v="Geraldo Ribeiro"/>
    <x v="0"/>
    <d v="2024-06-23T00:00:00"/>
    <x v="1"/>
    <n v="15"/>
    <x v="0"/>
    <s v="Yes"/>
    <n v="30"/>
    <s v="Yes"/>
    <n v="20"/>
    <n v="3"/>
    <n v="62"/>
    <x v="5"/>
  </r>
  <r>
    <n v="3350"/>
    <s v="Hélio Martins"/>
    <x v="2"/>
    <d v="2024-06-24T00:00:00"/>
    <x v="0"/>
    <n v="10"/>
    <x v="1"/>
    <s v="No"/>
    <s v="-"/>
    <s v="Yes"/>
    <n v="20"/>
    <n v="15"/>
    <n v="15"/>
    <x v="5"/>
  </r>
  <r>
    <n v="3351"/>
    <s v="Íris Santos"/>
    <x v="1"/>
    <d v="2024-06-25T00:00:00"/>
    <x v="1"/>
    <n v="5"/>
    <x v="0"/>
    <s v="No"/>
    <s v="-"/>
    <s v="No"/>
    <n v="0"/>
    <n v="1"/>
    <n v="4"/>
    <x v="5"/>
  </r>
  <r>
    <n v="3352"/>
    <s v="João Marcelo"/>
    <x v="0"/>
    <d v="2024-06-26T00:00:00"/>
    <x v="0"/>
    <n v="15"/>
    <x v="2"/>
    <s v="Yes"/>
    <n v="30"/>
    <s v="Yes"/>
    <n v="20"/>
    <n v="7"/>
    <n v="58"/>
    <x v="5"/>
  </r>
  <r>
    <n v="3353"/>
    <s v="Larissa Gomes"/>
    <x v="2"/>
    <d v="2024-06-27T00:00:00"/>
    <x v="1"/>
    <n v="10"/>
    <x v="0"/>
    <s v="No"/>
    <s v="-"/>
    <s v="Yes"/>
    <n v="20"/>
    <n v="10"/>
    <n v="20"/>
    <x v="5"/>
  </r>
  <r>
    <n v="3354"/>
    <s v="Márcio Silva"/>
    <x v="1"/>
    <d v="2024-06-28T00:00:00"/>
    <x v="0"/>
    <n v="5"/>
    <x v="1"/>
    <s v="No"/>
    <s v="-"/>
    <s v="No"/>
    <n v="0"/>
    <n v="0"/>
    <n v="5"/>
    <x v="5"/>
  </r>
  <r>
    <n v="3355"/>
    <s v="Nadia Costa"/>
    <x v="0"/>
    <d v="2024-06-29T00:00:00"/>
    <x v="1"/>
    <n v="15"/>
    <x v="0"/>
    <s v="Yes"/>
    <n v="30"/>
    <s v="Yes"/>
    <n v="20"/>
    <n v="20"/>
    <n v="45"/>
    <x v="5"/>
  </r>
  <r>
    <n v="3356"/>
    <s v="Oscar Almeida"/>
    <x v="2"/>
    <d v="2024-06-30T00:00:00"/>
    <x v="0"/>
    <n v="10"/>
    <x v="2"/>
    <s v="No"/>
    <s v="-"/>
    <s v="Yes"/>
    <n v="20"/>
    <n v="15"/>
    <n v="15"/>
    <x v="5"/>
  </r>
  <r>
    <n v="3357"/>
    <s v="Patricia Soares"/>
    <x v="1"/>
    <d v="2024-07-01T00:00:00"/>
    <x v="1"/>
    <n v="5"/>
    <x v="0"/>
    <s v="No"/>
    <s v="-"/>
    <s v="No"/>
    <n v="0"/>
    <n v="1"/>
    <n v="4"/>
    <x v="6"/>
  </r>
  <r>
    <n v="3358"/>
    <s v="Quênia Barros"/>
    <x v="0"/>
    <d v="2024-07-02T00:00:00"/>
    <x v="0"/>
    <n v="15"/>
    <x v="1"/>
    <s v="Yes"/>
    <n v="30"/>
    <s v="Yes"/>
    <n v="20"/>
    <n v="3"/>
    <n v="62"/>
    <x v="6"/>
  </r>
  <r>
    <n v="3359"/>
    <s v="Rafael Torres"/>
    <x v="2"/>
    <d v="2024-07-03T00:00:00"/>
    <x v="1"/>
    <n v="10"/>
    <x v="0"/>
    <s v="No"/>
    <s v="-"/>
    <s v="Yes"/>
    <n v="20"/>
    <n v="10"/>
    <n v="20"/>
    <x v="6"/>
  </r>
  <r>
    <n v="3360"/>
    <s v="Silvia Nascimento"/>
    <x v="1"/>
    <d v="2024-07-04T00:00:00"/>
    <x v="0"/>
    <n v="5"/>
    <x v="2"/>
    <s v="No"/>
    <s v="-"/>
    <s v="No"/>
    <n v="0"/>
    <n v="0"/>
    <n v="5"/>
    <x v="6"/>
  </r>
  <r>
    <n v="3361"/>
    <s v="Tiago Mendes"/>
    <x v="0"/>
    <d v="2024-07-05T00:00:00"/>
    <x v="1"/>
    <n v="15"/>
    <x v="0"/>
    <s v="Yes"/>
    <n v="30"/>
    <s v="Yes"/>
    <n v="20"/>
    <n v="15"/>
    <n v="50"/>
    <x v="6"/>
  </r>
  <r>
    <n v="3362"/>
    <s v="Ursula Silva"/>
    <x v="2"/>
    <d v="2024-07-06T00:00:00"/>
    <x v="0"/>
    <n v="10"/>
    <x v="1"/>
    <s v="No"/>
    <s v="-"/>
    <s v="Yes"/>
    <n v="20"/>
    <n v="15"/>
    <n v="15"/>
    <x v="6"/>
  </r>
  <r>
    <n v="3363"/>
    <s v="Vanessa Moraes"/>
    <x v="1"/>
    <d v="2024-07-07T00:00:00"/>
    <x v="1"/>
    <n v="5"/>
    <x v="0"/>
    <s v="No"/>
    <s v="-"/>
    <s v="No"/>
    <n v="0"/>
    <n v="1"/>
    <n v="4"/>
    <x v="6"/>
  </r>
  <r>
    <n v="3364"/>
    <s v="Waldir Junior"/>
    <x v="0"/>
    <d v="2024-07-08T00:00:00"/>
    <x v="0"/>
    <n v="15"/>
    <x v="2"/>
    <s v="Yes"/>
    <n v="30"/>
    <s v="Yes"/>
    <n v="20"/>
    <n v="7"/>
    <n v="58"/>
    <x v="6"/>
  </r>
  <r>
    <n v="3365"/>
    <s v="Xavier Lopes"/>
    <x v="2"/>
    <d v="2024-07-09T00:00:00"/>
    <x v="1"/>
    <n v="10"/>
    <x v="0"/>
    <s v="No"/>
    <s v="-"/>
    <s v="Yes"/>
    <n v="20"/>
    <n v="10"/>
    <n v="20"/>
    <x v="6"/>
  </r>
  <r>
    <n v="3366"/>
    <s v="Yolanda Freitas"/>
    <x v="1"/>
    <d v="2024-07-10T00:00:00"/>
    <x v="0"/>
    <n v="5"/>
    <x v="0"/>
    <s v="No"/>
    <s v="-"/>
    <s v="No"/>
    <n v="0"/>
    <n v="0"/>
    <n v="5"/>
    <x v="6"/>
  </r>
  <r>
    <n v="3367"/>
    <s v="Zacarias Nunes"/>
    <x v="0"/>
    <d v="2024-07-11T00:00:00"/>
    <x v="1"/>
    <n v="15"/>
    <x v="2"/>
    <s v="Yes"/>
    <n v="30"/>
    <s v="Yes"/>
    <n v="20"/>
    <n v="7"/>
    <n v="58"/>
    <x v="6"/>
  </r>
  <r>
    <n v="3368"/>
    <s v="Ana Clara Barreto"/>
    <x v="2"/>
    <d v="2024-07-12T00:00:00"/>
    <x v="0"/>
    <n v="10"/>
    <x v="1"/>
    <s v="No"/>
    <s v="-"/>
    <s v="Yes"/>
    <n v="20"/>
    <n v="10"/>
    <n v="20"/>
    <x v="6"/>
  </r>
  <r>
    <n v="3369"/>
    <s v="Bruno Henrique"/>
    <x v="1"/>
    <d v="2024-07-13T00:00:00"/>
    <x v="1"/>
    <n v="5"/>
    <x v="2"/>
    <s v="No"/>
    <s v="-"/>
    <s v="No"/>
    <n v="0"/>
    <n v="1"/>
    <n v="4"/>
    <x v="6"/>
  </r>
  <r>
    <n v="3370"/>
    <s v="Carlos Eduardo"/>
    <x v="0"/>
    <d v="2024-07-14T00:00:00"/>
    <x v="0"/>
    <n v="15"/>
    <x v="0"/>
    <s v="Yes"/>
    <n v="30"/>
    <s v="Yes"/>
    <n v="20"/>
    <n v="15"/>
    <n v="50"/>
    <x v="6"/>
  </r>
  <r>
    <n v="3371"/>
    <s v="Débora Lima"/>
    <x v="2"/>
    <d v="2024-07-15T00:00:00"/>
    <x v="1"/>
    <n v="10"/>
    <x v="0"/>
    <s v="No"/>
    <s v="-"/>
    <s v="Yes"/>
    <n v="20"/>
    <n v="5"/>
    <n v="25"/>
    <x v="6"/>
  </r>
  <r>
    <n v="3372"/>
    <s v="Elisa Neves"/>
    <x v="1"/>
    <d v="2024-07-16T00:00:00"/>
    <x v="0"/>
    <n v="5"/>
    <x v="1"/>
    <s v="No"/>
    <s v="-"/>
    <s v="No"/>
    <n v="0"/>
    <n v="0"/>
    <n v="5"/>
    <x v="6"/>
  </r>
  <r>
    <n v="3373"/>
    <s v="Fabiano Gomes"/>
    <x v="0"/>
    <d v="2024-07-17T00:00:00"/>
    <x v="1"/>
    <n v="15"/>
    <x v="2"/>
    <s v="Yes"/>
    <n v="30"/>
    <s v="Yes"/>
    <n v="20"/>
    <n v="20"/>
    <n v="45"/>
    <x v="6"/>
  </r>
  <r>
    <n v="3374"/>
    <s v="Gisele Oliveira"/>
    <x v="2"/>
    <d v="2024-07-18T00:00:00"/>
    <x v="0"/>
    <n v="10"/>
    <x v="2"/>
    <s v="No"/>
    <s v="-"/>
    <s v="Yes"/>
    <n v="20"/>
    <n v="12"/>
    <n v="18"/>
    <x v="6"/>
  </r>
  <r>
    <n v="3375"/>
    <s v="Héctor Silva"/>
    <x v="1"/>
    <d v="2024-07-19T00:00:00"/>
    <x v="1"/>
    <n v="5"/>
    <x v="0"/>
    <s v="No"/>
    <s v="-"/>
    <s v="No"/>
    <n v="0"/>
    <n v="2"/>
    <n v="3"/>
    <x v="6"/>
  </r>
  <r>
    <n v="3376"/>
    <s v="Igor Martins"/>
    <x v="0"/>
    <d v="2024-07-20T00:00:00"/>
    <x v="0"/>
    <n v="15"/>
    <x v="1"/>
    <s v="Yes"/>
    <n v="30"/>
    <s v="Yes"/>
    <n v="20"/>
    <n v="5"/>
    <n v="60"/>
    <x v="6"/>
  </r>
  <r>
    <n v="3377"/>
    <s v="Joana Figueiredo"/>
    <x v="2"/>
    <d v="2024-07-21T00:00:00"/>
    <x v="1"/>
    <n v="10"/>
    <x v="0"/>
    <s v="No"/>
    <s v="-"/>
    <s v="Yes"/>
    <n v="20"/>
    <n v="10"/>
    <n v="20"/>
    <x v="6"/>
  </r>
  <r>
    <n v="3378"/>
    <s v="Kleber Machado"/>
    <x v="1"/>
    <d v="2024-07-22T00:00:00"/>
    <x v="0"/>
    <n v="5"/>
    <x v="2"/>
    <s v="No"/>
    <s v="-"/>
    <s v="No"/>
    <n v="0"/>
    <n v="0"/>
    <n v="5"/>
    <x v="6"/>
  </r>
  <r>
    <n v="3379"/>
    <s v="Luciana Santos"/>
    <x v="0"/>
    <d v="2024-07-23T00:00:00"/>
    <x v="1"/>
    <n v="15"/>
    <x v="0"/>
    <s v="Yes"/>
    <n v="30"/>
    <s v="Yes"/>
    <n v="20"/>
    <n v="3"/>
    <n v="62"/>
    <x v="6"/>
  </r>
  <r>
    <n v="3380"/>
    <s v="Marcos Teixeira"/>
    <x v="2"/>
    <d v="2024-07-24T00:00:00"/>
    <x v="0"/>
    <n v="10"/>
    <x v="1"/>
    <s v="No"/>
    <s v="-"/>
    <s v="Yes"/>
    <n v="20"/>
    <n v="15"/>
    <n v="15"/>
    <x v="6"/>
  </r>
  <r>
    <n v="3381"/>
    <s v="Natalia Costa"/>
    <x v="1"/>
    <d v="2024-07-25T00:00:00"/>
    <x v="1"/>
    <n v="5"/>
    <x v="0"/>
    <s v="No"/>
    <s v="-"/>
    <s v="No"/>
    <n v="0"/>
    <n v="1"/>
    <n v="4"/>
    <x v="6"/>
  </r>
  <r>
    <n v="3382"/>
    <s v="Oscar Ribeiro"/>
    <x v="0"/>
    <d v="2024-07-26T00:00:00"/>
    <x v="0"/>
    <n v="15"/>
    <x v="2"/>
    <s v="Yes"/>
    <n v="30"/>
    <s v="Yes"/>
    <n v="20"/>
    <n v="7"/>
    <n v="58"/>
    <x v="6"/>
  </r>
  <r>
    <n v="3383"/>
    <s v="Patricia Almeida"/>
    <x v="2"/>
    <d v="2024-07-27T00:00:00"/>
    <x v="1"/>
    <n v="10"/>
    <x v="0"/>
    <s v="No"/>
    <s v="-"/>
    <s v="Yes"/>
    <n v="20"/>
    <n v="10"/>
    <n v="20"/>
    <x v="6"/>
  </r>
  <r>
    <n v="3384"/>
    <s v="Quirino Junior"/>
    <x v="1"/>
    <d v="2024-07-28T00:00:00"/>
    <x v="0"/>
    <n v="5"/>
    <x v="1"/>
    <s v="No"/>
    <s v="-"/>
    <s v="No"/>
    <n v="0"/>
    <n v="0"/>
    <n v="5"/>
    <x v="6"/>
  </r>
  <r>
    <n v="3385"/>
    <s v="Renata Machado"/>
    <x v="0"/>
    <d v="2024-07-29T00:00:00"/>
    <x v="1"/>
    <n v="15"/>
    <x v="0"/>
    <s v="Yes"/>
    <n v="30"/>
    <s v="Yes"/>
    <n v="20"/>
    <n v="20"/>
    <n v="45"/>
    <x v="6"/>
  </r>
  <r>
    <n v="3386"/>
    <s v="Sônia Alves"/>
    <x v="2"/>
    <d v="2024-07-30T00:00:00"/>
    <x v="0"/>
    <n v="10"/>
    <x v="2"/>
    <s v="No"/>
    <s v="-"/>
    <s v="Yes"/>
    <n v="20"/>
    <n v="15"/>
    <n v="15"/>
    <x v="6"/>
  </r>
  <r>
    <n v="3387"/>
    <s v="Tiago Nunes"/>
    <x v="1"/>
    <d v="2024-07-31T00:00:00"/>
    <x v="1"/>
    <n v="5"/>
    <x v="0"/>
    <s v="No"/>
    <s v="-"/>
    <s v="No"/>
    <n v="0"/>
    <n v="1"/>
    <n v="4"/>
    <x v="6"/>
  </r>
  <r>
    <n v="3388"/>
    <s v="Ulysses Pereira"/>
    <x v="0"/>
    <d v="2024-08-01T00:00:00"/>
    <x v="0"/>
    <n v="15"/>
    <x v="1"/>
    <s v="Yes"/>
    <n v="30"/>
    <s v="Yes"/>
    <n v="20"/>
    <n v="3"/>
    <n v="62"/>
    <x v="7"/>
  </r>
  <r>
    <n v="3389"/>
    <s v="Vanessa Lima"/>
    <x v="2"/>
    <d v="2024-08-02T00:00:00"/>
    <x v="1"/>
    <n v="10"/>
    <x v="0"/>
    <s v="No"/>
    <s v="-"/>
    <s v="Yes"/>
    <n v="20"/>
    <n v="10"/>
    <n v="20"/>
    <x v="7"/>
  </r>
  <r>
    <n v="3390"/>
    <s v="Wagner Santos"/>
    <x v="1"/>
    <d v="2024-08-03T00:00:00"/>
    <x v="0"/>
    <n v="5"/>
    <x v="2"/>
    <s v="No"/>
    <s v="-"/>
    <s v="No"/>
    <n v="0"/>
    <n v="0"/>
    <n v="5"/>
    <x v="7"/>
  </r>
  <r>
    <n v="3391"/>
    <s v="Xuxa Meneghel"/>
    <x v="0"/>
    <d v="2024-08-04T00:00:00"/>
    <x v="1"/>
    <n v="15"/>
    <x v="0"/>
    <s v="Yes"/>
    <n v="30"/>
    <s v="Yes"/>
    <n v="20"/>
    <n v="15"/>
    <n v="50"/>
    <x v="7"/>
  </r>
  <r>
    <n v="3392"/>
    <s v="Yasmin Silva"/>
    <x v="2"/>
    <d v="2024-08-05T00:00:00"/>
    <x v="0"/>
    <n v="10"/>
    <x v="1"/>
    <s v="No"/>
    <s v="-"/>
    <s v="Yes"/>
    <n v="20"/>
    <n v="15"/>
    <n v="15"/>
    <x v="7"/>
  </r>
  <r>
    <n v="3393"/>
    <s v="Zacarias de Souza"/>
    <x v="1"/>
    <d v="2024-08-06T00:00:00"/>
    <x v="1"/>
    <n v="5"/>
    <x v="0"/>
    <s v="No"/>
    <s v="-"/>
    <s v="No"/>
    <n v="0"/>
    <n v="1"/>
    <n v="4"/>
    <x v="7"/>
  </r>
  <r>
    <n v="3394"/>
    <s v="André Lima"/>
    <x v="0"/>
    <d v="2024-08-07T00:00:00"/>
    <x v="0"/>
    <n v="15"/>
    <x v="2"/>
    <s v="Yes"/>
    <n v="30"/>
    <s v="Yes"/>
    <n v="20"/>
    <n v="7"/>
    <n v="58"/>
    <x v="7"/>
  </r>
  <r>
    <n v="3395"/>
    <s v="Bianca Freitas"/>
    <x v="2"/>
    <d v="2024-08-08T00:00:00"/>
    <x v="1"/>
    <n v="10"/>
    <x v="0"/>
    <s v="No"/>
    <s v="-"/>
    <s v="Yes"/>
    <n v="20"/>
    <n v="10"/>
    <n v="20"/>
    <x v="7"/>
  </r>
  <r>
    <n v="3396"/>
    <s v="Caio Mendes"/>
    <x v="1"/>
    <d v="2024-08-09T00:00:00"/>
    <x v="0"/>
    <n v="5"/>
    <x v="1"/>
    <s v="No"/>
    <s v="-"/>
    <s v="No"/>
    <n v="0"/>
    <n v="0"/>
    <n v="5"/>
    <x v="7"/>
  </r>
  <r>
    <n v="3397"/>
    <s v="Daniela Moura"/>
    <x v="0"/>
    <d v="2024-08-10T00:00:00"/>
    <x v="1"/>
    <n v="15"/>
    <x v="0"/>
    <s v="Yes"/>
    <n v="30"/>
    <s v="Yes"/>
    <n v="20"/>
    <n v="20"/>
    <n v="45"/>
    <x v="7"/>
  </r>
  <r>
    <n v="3398"/>
    <s v="Eduardo Costa"/>
    <x v="2"/>
    <d v="2024-08-11T00:00:00"/>
    <x v="0"/>
    <n v="10"/>
    <x v="2"/>
    <s v="No"/>
    <s v="-"/>
    <s v="Yes"/>
    <n v="20"/>
    <n v="15"/>
    <n v="15"/>
    <x v="7"/>
  </r>
  <r>
    <n v="3399"/>
    <s v="Fernanda Gomes"/>
    <x v="1"/>
    <d v="2024-08-12T00:00:00"/>
    <x v="1"/>
    <n v="5"/>
    <x v="0"/>
    <s v="No"/>
    <s v="-"/>
    <s v="No"/>
    <n v="0"/>
    <n v="1"/>
    <n v="4"/>
    <x v="7"/>
  </r>
  <r>
    <n v="3400"/>
    <s v="Guilherme Souza"/>
    <x v="0"/>
    <d v="2024-08-13T00:00:00"/>
    <x v="0"/>
    <n v="15"/>
    <x v="1"/>
    <s v="Yes"/>
    <n v="30"/>
    <s v="Yes"/>
    <n v="20"/>
    <n v="5"/>
    <n v="60"/>
    <x v="7"/>
  </r>
  <r>
    <n v="3401"/>
    <s v="Helena Ribeiro"/>
    <x v="2"/>
    <d v="2024-08-14T00:00:00"/>
    <x v="1"/>
    <n v="10"/>
    <x v="0"/>
    <s v="No"/>
    <s v="-"/>
    <s v="Yes"/>
    <n v="20"/>
    <n v="10"/>
    <n v="20"/>
    <x v="7"/>
  </r>
  <r>
    <n v="3402"/>
    <s v="Igor Santos"/>
    <x v="1"/>
    <d v="2024-08-15T00:00:00"/>
    <x v="0"/>
    <n v="5"/>
    <x v="2"/>
    <s v="No"/>
    <s v="-"/>
    <s v="No"/>
    <n v="0"/>
    <n v="0"/>
    <n v="5"/>
    <x v="7"/>
  </r>
  <r>
    <n v="3403"/>
    <s v="João Carvalho"/>
    <x v="0"/>
    <d v="2024-08-16T00:00:00"/>
    <x v="1"/>
    <n v="15"/>
    <x v="0"/>
    <s v="Yes"/>
    <n v="30"/>
    <s v="Yes"/>
    <n v="20"/>
    <n v="3"/>
    <n v="62"/>
    <x v="7"/>
  </r>
  <r>
    <n v="3404"/>
    <s v="Klara Fagundes"/>
    <x v="2"/>
    <d v="2024-08-17T00:00:00"/>
    <x v="0"/>
    <n v="10"/>
    <x v="1"/>
    <s v="No"/>
    <s v="-"/>
    <s v="Yes"/>
    <n v="20"/>
    <n v="15"/>
    <n v="15"/>
    <x v="7"/>
  </r>
  <r>
    <n v="3405"/>
    <s v="Lúcia Mendonça"/>
    <x v="1"/>
    <d v="2024-08-18T00:00:00"/>
    <x v="1"/>
    <n v="5"/>
    <x v="0"/>
    <s v="No"/>
    <s v="-"/>
    <s v="No"/>
    <n v="0"/>
    <n v="1"/>
    <n v="4"/>
    <x v="7"/>
  </r>
  <r>
    <n v="3406"/>
    <s v="Marcelo Novaes"/>
    <x v="1"/>
    <d v="2024-08-19T00:00:00"/>
    <x v="0"/>
    <n v="5"/>
    <x v="0"/>
    <s v="No"/>
    <s v="-"/>
    <s v="No"/>
    <n v="0"/>
    <n v="0"/>
    <n v="5"/>
    <x v="7"/>
  </r>
  <r>
    <n v="3407"/>
    <s v="Nina Pacheco"/>
    <x v="0"/>
    <d v="2024-08-20T00:00:00"/>
    <x v="1"/>
    <n v="15"/>
    <x v="2"/>
    <s v="Yes"/>
    <n v="30"/>
    <s v="Yes"/>
    <n v="20"/>
    <n v="7"/>
    <n v="58"/>
    <x v="7"/>
  </r>
  <r>
    <n v="3408"/>
    <s v="Olívia Rios"/>
    <x v="2"/>
    <d v="2024-08-21T00:00:00"/>
    <x v="0"/>
    <n v="10"/>
    <x v="1"/>
    <s v="No"/>
    <s v="-"/>
    <s v="Yes"/>
    <n v="20"/>
    <n v="10"/>
    <n v="20"/>
    <x v="7"/>
  </r>
  <r>
    <n v="3409"/>
    <s v="Paulo Quintana"/>
    <x v="1"/>
    <d v="2024-08-22T00:00:00"/>
    <x v="1"/>
    <n v="5"/>
    <x v="2"/>
    <s v="No"/>
    <s v="-"/>
    <s v="No"/>
    <n v="0"/>
    <n v="1"/>
    <n v="4"/>
    <x v="7"/>
  </r>
  <r>
    <n v="3410"/>
    <s v="Raquel Domingos"/>
    <x v="0"/>
    <d v="2024-08-23T00:00:00"/>
    <x v="0"/>
    <n v="15"/>
    <x v="0"/>
    <s v="Yes"/>
    <n v="30"/>
    <s v="Yes"/>
    <n v="20"/>
    <n v="15"/>
    <n v="50"/>
    <x v="7"/>
  </r>
  <r>
    <n v="3411"/>
    <s v="Samuel Viana"/>
    <x v="2"/>
    <d v="2024-08-24T00:00:00"/>
    <x v="1"/>
    <n v="10"/>
    <x v="0"/>
    <s v="No"/>
    <s v="-"/>
    <s v="Yes"/>
    <n v="20"/>
    <n v="5"/>
    <n v="25"/>
    <x v="7"/>
  </r>
  <r>
    <n v="3412"/>
    <s v="Tatiane Rocha"/>
    <x v="1"/>
    <d v="2024-08-25T00:00:00"/>
    <x v="0"/>
    <n v="5"/>
    <x v="1"/>
    <s v="No"/>
    <s v="-"/>
    <s v="No"/>
    <n v="0"/>
    <n v="0"/>
    <n v="5"/>
    <x v="7"/>
  </r>
  <r>
    <n v="3413"/>
    <s v="Ulysses Farias"/>
    <x v="0"/>
    <d v="2024-08-26T00:00:00"/>
    <x v="1"/>
    <n v="15"/>
    <x v="2"/>
    <s v="Yes"/>
    <n v="30"/>
    <s v="Yes"/>
    <n v="20"/>
    <n v="20"/>
    <n v="45"/>
    <x v="7"/>
  </r>
  <r>
    <n v="3414"/>
    <s v="Vanessa Moreira"/>
    <x v="2"/>
    <d v="2024-08-27T00:00:00"/>
    <x v="0"/>
    <n v="10"/>
    <x v="2"/>
    <s v="No"/>
    <s v="-"/>
    <s v="Yes"/>
    <n v="20"/>
    <n v="12"/>
    <n v="18"/>
    <x v="7"/>
  </r>
  <r>
    <n v="3415"/>
    <s v="William Carvalho"/>
    <x v="1"/>
    <d v="2024-08-28T00:00:00"/>
    <x v="1"/>
    <n v="5"/>
    <x v="0"/>
    <s v="No"/>
    <s v="-"/>
    <s v="No"/>
    <n v="0"/>
    <n v="2"/>
    <n v="3"/>
    <x v="7"/>
  </r>
  <r>
    <n v="3416"/>
    <s v="Ximena Barros"/>
    <x v="0"/>
    <d v="2024-08-29T00:00:00"/>
    <x v="0"/>
    <n v="15"/>
    <x v="1"/>
    <s v="Yes"/>
    <n v="30"/>
    <s v="Yes"/>
    <n v="20"/>
    <n v="5"/>
    <n v="60"/>
    <x v="7"/>
  </r>
  <r>
    <n v="3417"/>
    <s v="Yara Machado"/>
    <x v="2"/>
    <d v="2024-08-30T00:00:00"/>
    <x v="1"/>
    <n v="10"/>
    <x v="0"/>
    <s v="No"/>
    <s v="-"/>
    <s v="Yes"/>
    <n v="20"/>
    <n v="10"/>
    <n v="20"/>
    <x v="7"/>
  </r>
  <r>
    <n v="3418"/>
    <s v="Zacarias Costa"/>
    <x v="1"/>
    <d v="2024-08-31T00:00:00"/>
    <x v="0"/>
    <n v="5"/>
    <x v="2"/>
    <s v="No"/>
    <s v="-"/>
    <s v="No"/>
    <n v="0"/>
    <n v="0"/>
    <n v="5"/>
    <x v="7"/>
  </r>
  <r>
    <n v="3419"/>
    <s v="André Lopes"/>
    <x v="0"/>
    <d v="2024-09-01T00:00:00"/>
    <x v="1"/>
    <n v="15"/>
    <x v="0"/>
    <s v="Yes"/>
    <n v="30"/>
    <s v="Yes"/>
    <n v="20"/>
    <n v="3"/>
    <n v="62"/>
    <x v="8"/>
  </r>
  <r>
    <n v="3420"/>
    <s v="Beatriz Souza"/>
    <x v="2"/>
    <d v="2024-09-02T00:00:00"/>
    <x v="0"/>
    <n v="10"/>
    <x v="1"/>
    <s v="No"/>
    <s v="-"/>
    <s v="Yes"/>
    <n v="20"/>
    <n v="15"/>
    <n v="15"/>
    <x v="8"/>
  </r>
  <r>
    <n v="3421"/>
    <s v="Caio Pereira"/>
    <x v="1"/>
    <d v="2024-09-03T00:00:00"/>
    <x v="1"/>
    <n v="5"/>
    <x v="0"/>
    <s v="No"/>
    <s v="-"/>
    <s v="No"/>
    <n v="0"/>
    <n v="1"/>
    <n v="4"/>
    <x v="8"/>
  </r>
  <r>
    <n v="3422"/>
    <s v="Daniela Araújo"/>
    <x v="0"/>
    <d v="2024-09-04T00:00:00"/>
    <x v="0"/>
    <n v="15"/>
    <x v="2"/>
    <s v="Yes"/>
    <n v="30"/>
    <s v="Yes"/>
    <n v="20"/>
    <n v="7"/>
    <n v="58"/>
    <x v="8"/>
  </r>
  <r>
    <n v="3423"/>
    <s v="Eduardo Santos"/>
    <x v="2"/>
    <d v="2024-09-05T00:00:00"/>
    <x v="1"/>
    <n v="10"/>
    <x v="0"/>
    <s v="No"/>
    <s v="-"/>
    <s v="Yes"/>
    <n v="20"/>
    <n v="10"/>
    <n v="20"/>
    <x v="8"/>
  </r>
  <r>
    <n v="3424"/>
    <s v="Fernanda Lima"/>
    <x v="1"/>
    <d v="2024-09-06T00:00:00"/>
    <x v="0"/>
    <n v="5"/>
    <x v="1"/>
    <s v="No"/>
    <s v="-"/>
    <s v="No"/>
    <n v="0"/>
    <n v="0"/>
    <n v="5"/>
    <x v="8"/>
  </r>
  <r>
    <n v="3425"/>
    <s v="Gabriel Teixeira"/>
    <x v="0"/>
    <d v="2024-09-07T00:00:00"/>
    <x v="1"/>
    <n v="15"/>
    <x v="0"/>
    <s v="Yes"/>
    <n v="30"/>
    <s v="Yes"/>
    <n v="20"/>
    <n v="20"/>
    <n v="45"/>
    <x v="8"/>
  </r>
  <r>
    <n v="3426"/>
    <s v="Helena Ribeiro"/>
    <x v="2"/>
    <d v="2024-09-08T00:00:00"/>
    <x v="0"/>
    <n v="10"/>
    <x v="2"/>
    <s v="No"/>
    <s v="-"/>
    <s v="Yes"/>
    <n v="20"/>
    <n v="15"/>
    <n v="15"/>
    <x v="8"/>
  </r>
  <r>
    <n v="3427"/>
    <s v="Igor Mendes"/>
    <x v="1"/>
    <d v="2024-09-09T00:00:00"/>
    <x v="1"/>
    <n v="5"/>
    <x v="0"/>
    <s v="No"/>
    <s v="-"/>
    <s v="No"/>
    <n v="0"/>
    <n v="1"/>
    <n v="4"/>
    <x v="8"/>
  </r>
  <r>
    <n v="3428"/>
    <s v="Joana Silveira"/>
    <x v="0"/>
    <d v="2024-09-10T00:00:00"/>
    <x v="0"/>
    <n v="15"/>
    <x v="1"/>
    <s v="Yes"/>
    <n v="30"/>
    <s v="Yes"/>
    <n v="20"/>
    <n v="3"/>
    <n v="62"/>
    <x v="8"/>
  </r>
  <r>
    <n v="3429"/>
    <s v="Lucas Martins"/>
    <x v="2"/>
    <d v="2024-09-11T00:00:00"/>
    <x v="1"/>
    <n v="10"/>
    <x v="0"/>
    <s v="No"/>
    <s v="-"/>
    <s v="Yes"/>
    <n v="20"/>
    <n v="10"/>
    <n v="20"/>
    <x v="8"/>
  </r>
  <r>
    <n v="3430"/>
    <s v="Marcela Gouveia"/>
    <x v="1"/>
    <d v="2024-09-12T00:00:00"/>
    <x v="0"/>
    <n v="5"/>
    <x v="2"/>
    <s v="No"/>
    <s v="-"/>
    <s v="No"/>
    <n v="0"/>
    <n v="0"/>
    <n v="5"/>
    <x v="8"/>
  </r>
  <r>
    <n v="3431"/>
    <s v="Nicolas Borges"/>
    <x v="0"/>
    <d v="2024-09-13T00:00:00"/>
    <x v="1"/>
    <n v="15"/>
    <x v="0"/>
    <s v="Yes"/>
    <n v="30"/>
    <s v="Yes"/>
    <n v="20"/>
    <n v="15"/>
    <n v="50"/>
    <x v="8"/>
  </r>
  <r>
    <n v="3432"/>
    <s v="Olivia Freitas"/>
    <x v="2"/>
    <d v="2024-09-14T00:00:00"/>
    <x v="0"/>
    <n v="10"/>
    <x v="1"/>
    <s v="No"/>
    <s v="-"/>
    <s v="Yes"/>
    <n v="20"/>
    <n v="15"/>
    <n v="15"/>
    <x v="8"/>
  </r>
  <r>
    <n v="3433"/>
    <s v="Paulo Nogueira"/>
    <x v="1"/>
    <d v="2024-09-15T00:00:00"/>
    <x v="1"/>
    <n v="5"/>
    <x v="0"/>
    <s v="No"/>
    <s v="-"/>
    <s v="No"/>
    <n v="0"/>
    <n v="1"/>
    <n v="4"/>
    <x v="8"/>
  </r>
  <r>
    <n v="3434"/>
    <s v="Raquel Andrade"/>
    <x v="0"/>
    <d v="2024-09-16T00:00:00"/>
    <x v="0"/>
    <n v="15"/>
    <x v="2"/>
    <s v="Yes"/>
    <n v="30"/>
    <s v="Yes"/>
    <n v="20"/>
    <n v="7"/>
    <n v="58"/>
    <x v="8"/>
  </r>
  <r>
    <n v="3435"/>
    <s v="Sônia Carvalho"/>
    <x v="2"/>
    <d v="2024-09-17T00:00:00"/>
    <x v="1"/>
    <n v="10"/>
    <x v="0"/>
    <s v="No"/>
    <s v="-"/>
    <s v="Yes"/>
    <n v="20"/>
    <n v="10"/>
    <n v="20"/>
    <x v="8"/>
  </r>
  <r>
    <n v="3436"/>
    <s v="Tiago Rodrigues"/>
    <x v="1"/>
    <d v="2024-09-18T00:00:00"/>
    <x v="0"/>
    <n v="5"/>
    <x v="0"/>
    <s v="No"/>
    <s v="-"/>
    <s v="No"/>
    <n v="0"/>
    <n v="0"/>
    <n v="5"/>
    <x v="8"/>
  </r>
  <r>
    <n v="3437"/>
    <s v="Ursula Monteiro"/>
    <x v="0"/>
    <d v="2024-09-19T00:00:00"/>
    <x v="1"/>
    <n v="15"/>
    <x v="2"/>
    <s v="Yes"/>
    <n v="30"/>
    <s v="Yes"/>
    <n v="20"/>
    <n v="7"/>
    <n v="58"/>
    <x v="8"/>
  </r>
  <r>
    <n v="3438"/>
    <s v="Vanessa Pereira"/>
    <x v="2"/>
    <d v="2024-09-20T00:00:00"/>
    <x v="0"/>
    <n v="10"/>
    <x v="1"/>
    <s v="No"/>
    <s v="-"/>
    <s v="Yes"/>
    <n v="20"/>
    <n v="10"/>
    <n v="20"/>
    <x v="8"/>
  </r>
  <r>
    <n v="3439"/>
    <s v="Walter Silva"/>
    <x v="1"/>
    <d v="2024-09-21T00:00:00"/>
    <x v="1"/>
    <n v="5"/>
    <x v="2"/>
    <s v="No"/>
    <s v="-"/>
    <s v="No"/>
    <n v="0"/>
    <n v="1"/>
    <n v="4"/>
    <x v="8"/>
  </r>
  <r>
    <n v="3440"/>
    <s v="Xavier Almeida"/>
    <x v="0"/>
    <d v="2024-09-22T00:00:00"/>
    <x v="0"/>
    <n v="15"/>
    <x v="0"/>
    <s v="Yes"/>
    <n v="30"/>
    <s v="Yes"/>
    <n v="20"/>
    <n v="15"/>
    <n v="50"/>
    <x v="8"/>
  </r>
  <r>
    <n v="3441"/>
    <s v="Yasmine Correia"/>
    <x v="2"/>
    <d v="2024-09-23T00:00:00"/>
    <x v="1"/>
    <n v="10"/>
    <x v="0"/>
    <s v="No"/>
    <s v="-"/>
    <s v="Yes"/>
    <n v="20"/>
    <n v="5"/>
    <n v="25"/>
    <x v="8"/>
  </r>
  <r>
    <n v="3442"/>
    <s v="Zacarias Almeida"/>
    <x v="1"/>
    <d v="2024-09-24T00:00:00"/>
    <x v="0"/>
    <n v="5"/>
    <x v="1"/>
    <s v="No"/>
    <s v="-"/>
    <s v="No"/>
    <n v="0"/>
    <n v="0"/>
    <n v="5"/>
    <x v="8"/>
  </r>
  <r>
    <n v="3443"/>
    <s v="Amanda Costa"/>
    <x v="0"/>
    <d v="2024-09-25T00:00:00"/>
    <x v="1"/>
    <n v="15"/>
    <x v="2"/>
    <s v="Yes"/>
    <n v="30"/>
    <s v="Yes"/>
    <n v="20"/>
    <n v="20"/>
    <n v="45"/>
    <x v="8"/>
  </r>
  <r>
    <n v="3444"/>
    <s v="Bruno Ferreira"/>
    <x v="2"/>
    <d v="2024-09-26T00:00:00"/>
    <x v="0"/>
    <n v="10"/>
    <x v="2"/>
    <s v="No"/>
    <s v="-"/>
    <s v="Yes"/>
    <n v="20"/>
    <n v="12"/>
    <n v="18"/>
    <x v="8"/>
  </r>
  <r>
    <n v="3445"/>
    <s v="Carla Dias"/>
    <x v="1"/>
    <d v="2024-09-27T00:00:00"/>
    <x v="1"/>
    <n v="5"/>
    <x v="0"/>
    <s v="No"/>
    <s v="-"/>
    <s v="No"/>
    <n v="0"/>
    <n v="2"/>
    <n v="3"/>
    <x v="8"/>
  </r>
  <r>
    <n v="3446"/>
    <s v="Diogo Martins"/>
    <x v="0"/>
    <d v="2024-09-28T00:00:00"/>
    <x v="0"/>
    <n v="15"/>
    <x v="1"/>
    <s v="Yes"/>
    <n v="30"/>
    <s v="Yes"/>
    <n v="20"/>
    <n v="5"/>
    <n v="60"/>
    <x v="8"/>
  </r>
  <r>
    <n v="3447"/>
    <s v="Elisa Campos"/>
    <x v="2"/>
    <d v="2024-09-29T00:00:00"/>
    <x v="1"/>
    <n v="10"/>
    <x v="0"/>
    <s v="No"/>
    <s v="-"/>
    <s v="Yes"/>
    <n v="20"/>
    <n v="10"/>
    <n v="20"/>
    <x v="8"/>
  </r>
  <r>
    <n v="3448"/>
    <s v="Fabiana Lima"/>
    <x v="1"/>
    <d v="2024-09-30T00:00:00"/>
    <x v="0"/>
    <n v="5"/>
    <x v="2"/>
    <s v="No"/>
    <s v="-"/>
    <s v="No"/>
    <n v="0"/>
    <n v="0"/>
    <n v="5"/>
    <x v="8"/>
  </r>
  <r>
    <n v="3449"/>
    <s v="Gabriel Santos"/>
    <x v="0"/>
    <d v="2024-10-01T00:00:00"/>
    <x v="1"/>
    <n v="15"/>
    <x v="0"/>
    <s v="Yes"/>
    <n v="30"/>
    <s v="Yes"/>
    <n v="20"/>
    <n v="3"/>
    <n v="62"/>
    <x v="9"/>
  </r>
  <r>
    <n v="3450"/>
    <s v="Helena Ferreira"/>
    <x v="2"/>
    <d v="2024-10-02T00:00:00"/>
    <x v="0"/>
    <n v="10"/>
    <x v="1"/>
    <s v="No"/>
    <s v="-"/>
    <s v="Yes"/>
    <n v="20"/>
    <n v="15"/>
    <n v="15"/>
    <x v="9"/>
  </r>
  <r>
    <n v="3451"/>
    <s v="Ígor Nunes"/>
    <x v="1"/>
    <d v="2024-10-03T00:00:00"/>
    <x v="1"/>
    <n v="5"/>
    <x v="0"/>
    <s v="No"/>
    <s v="-"/>
    <s v="No"/>
    <n v="0"/>
    <n v="1"/>
    <n v="4"/>
    <x v="9"/>
  </r>
  <r>
    <n v="3452"/>
    <s v="Joana Silveira"/>
    <x v="0"/>
    <d v="2024-10-04T00:00:00"/>
    <x v="0"/>
    <n v="15"/>
    <x v="2"/>
    <s v="Yes"/>
    <n v="30"/>
    <s v="Yes"/>
    <n v="20"/>
    <n v="7"/>
    <n v="58"/>
    <x v="9"/>
  </r>
  <r>
    <n v="3453"/>
    <s v="Kléber Oliveira"/>
    <x v="2"/>
    <d v="2024-10-05T00:00:00"/>
    <x v="1"/>
    <n v="10"/>
    <x v="0"/>
    <s v="No"/>
    <s v="-"/>
    <s v="Yes"/>
    <n v="20"/>
    <n v="10"/>
    <n v="20"/>
    <x v="9"/>
  </r>
  <r>
    <n v="3454"/>
    <s v="Luciana Morais"/>
    <x v="1"/>
    <d v="2024-10-06T00:00:00"/>
    <x v="0"/>
    <n v="5"/>
    <x v="1"/>
    <s v="No"/>
    <s v="-"/>
    <s v="No"/>
    <n v="0"/>
    <n v="0"/>
    <n v="5"/>
    <x v="9"/>
  </r>
  <r>
    <n v="3455"/>
    <s v="Marcos Vinícius"/>
    <x v="0"/>
    <d v="2024-10-07T00:00:00"/>
    <x v="1"/>
    <n v="15"/>
    <x v="0"/>
    <s v="Yes"/>
    <n v="30"/>
    <s v="Yes"/>
    <n v="20"/>
    <n v="20"/>
    <n v="45"/>
    <x v="9"/>
  </r>
  <r>
    <n v="3456"/>
    <s v="Natália Barros"/>
    <x v="2"/>
    <d v="2024-10-08T00:00:00"/>
    <x v="0"/>
    <n v="10"/>
    <x v="2"/>
    <s v="No"/>
    <s v="-"/>
    <s v="Yes"/>
    <n v="20"/>
    <n v="15"/>
    <n v="15"/>
    <x v="9"/>
  </r>
  <r>
    <n v="3457"/>
    <s v="Oscar Sampaio"/>
    <x v="1"/>
    <d v="2024-10-09T00:00:00"/>
    <x v="1"/>
    <n v="5"/>
    <x v="0"/>
    <s v="No"/>
    <s v="-"/>
    <s v="No"/>
    <n v="0"/>
    <n v="1"/>
    <n v="4"/>
    <x v="9"/>
  </r>
  <r>
    <n v="3458"/>
    <s v="Patrícia Leite"/>
    <x v="0"/>
    <d v="2024-10-10T00:00:00"/>
    <x v="0"/>
    <n v="15"/>
    <x v="1"/>
    <s v="Yes"/>
    <n v="30"/>
    <s v="Yes"/>
    <n v="20"/>
    <n v="3"/>
    <n v="62"/>
    <x v="9"/>
  </r>
  <r>
    <n v="3459"/>
    <s v="Quênia Rocha"/>
    <x v="2"/>
    <d v="2024-10-11T00:00:00"/>
    <x v="1"/>
    <n v="10"/>
    <x v="0"/>
    <s v="No"/>
    <s v="-"/>
    <s v="Yes"/>
    <n v="20"/>
    <n v="10"/>
    <n v="20"/>
    <x v="9"/>
  </r>
  <r>
    <n v="3460"/>
    <s v="Rafael Torres"/>
    <x v="1"/>
    <d v="2024-10-12T00:00:00"/>
    <x v="0"/>
    <n v="5"/>
    <x v="2"/>
    <s v="No"/>
    <s v="-"/>
    <s v="No"/>
    <n v="0"/>
    <n v="0"/>
    <n v="5"/>
    <x v="9"/>
  </r>
  <r>
    <n v="3461"/>
    <s v="Sandra Gouveia"/>
    <x v="0"/>
    <d v="2024-10-13T00:00:00"/>
    <x v="1"/>
    <n v="15"/>
    <x v="0"/>
    <s v="Yes"/>
    <n v="30"/>
    <s v="Yes"/>
    <n v="20"/>
    <n v="15"/>
    <n v="50"/>
    <x v="9"/>
  </r>
  <r>
    <n v="3462"/>
    <s v="Tiago Lacerda"/>
    <x v="2"/>
    <d v="2024-10-14T00:00:00"/>
    <x v="0"/>
    <n v="10"/>
    <x v="1"/>
    <s v="No"/>
    <s v="-"/>
    <s v="Yes"/>
    <n v="20"/>
    <n v="15"/>
    <n v="15"/>
    <x v="9"/>
  </r>
  <r>
    <n v="3463"/>
    <s v="Ursula Fonseca"/>
    <x v="1"/>
    <d v="2024-10-15T00:00:00"/>
    <x v="1"/>
    <n v="5"/>
    <x v="0"/>
    <s v="No"/>
    <s v="-"/>
    <s v="No"/>
    <n v="0"/>
    <n v="1"/>
    <n v="4"/>
    <x v="9"/>
  </r>
  <r>
    <n v="3464"/>
    <s v="Vanessa Andrade"/>
    <x v="0"/>
    <d v="2024-10-16T00:00:00"/>
    <x v="0"/>
    <n v="15"/>
    <x v="2"/>
    <s v="Yes"/>
    <n v="30"/>
    <s v="Yes"/>
    <n v="20"/>
    <n v="7"/>
    <n v="58"/>
    <x v="9"/>
  </r>
  <r>
    <n v="3465"/>
    <s v="William Castro"/>
    <x v="2"/>
    <d v="2024-10-17T00:00:00"/>
    <x v="1"/>
    <n v="10"/>
    <x v="0"/>
    <s v="No"/>
    <s v="-"/>
    <s v="Yes"/>
    <n v="20"/>
    <n v="10"/>
    <n v="20"/>
    <x v="9"/>
  </r>
  <r>
    <n v="3466"/>
    <s v="Xavier Monteiro"/>
    <x v="1"/>
    <d v="2024-10-18T00:00:00"/>
    <x v="0"/>
    <n v="5"/>
    <x v="1"/>
    <s v="No"/>
    <s v="-"/>
    <s v="No"/>
    <n v="0"/>
    <n v="0"/>
    <n v="5"/>
    <x v="9"/>
  </r>
  <r>
    <n v="3467"/>
    <s v="Yasmin Figueira"/>
    <x v="0"/>
    <d v="2024-10-19T00:00:00"/>
    <x v="1"/>
    <n v="15"/>
    <x v="0"/>
    <s v="Yes"/>
    <n v="30"/>
    <s v="Yes"/>
    <n v="20"/>
    <n v="15"/>
    <n v="50"/>
    <x v="9"/>
  </r>
  <r>
    <n v="3468"/>
    <s v="Zacarias Mendonça"/>
    <x v="2"/>
    <d v="2024-10-20T00:00:00"/>
    <x v="0"/>
    <n v="10"/>
    <x v="2"/>
    <s v="No"/>
    <s v="-"/>
    <s v="Yes"/>
    <n v="20"/>
    <n v="12"/>
    <n v="18"/>
    <x v="9"/>
  </r>
  <r>
    <n v="3469"/>
    <s v="Amanda Menezes"/>
    <x v="1"/>
    <d v="2024-10-21T00:00:00"/>
    <x v="1"/>
    <n v="5"/>
    <x v="0"/>
    <s v="No"/>
    <s v="-"/>
    <s v="No"/>
    <n v="0"/>
    <n v="2"/>
    <n v="3"/>
    <x v="9"/>
  </r>
  <r>
    <n v="3470"/>
    <s v="Bruno Santos"/>
    <x v="0"/>
    <d v="2024-10-22T00:00:00"/>
    <x v="0"/>
    <n v="15"/>
    <x v="1"/>
    <s v="Yes"/>
    <n v="30"/>
    <s v="Yes"/>
    <n v="20"/>
    <n v="5"/>
    <n v="60"/>
    <x v="9"/>
  </r>
  <r>
    <n v="3471"/>
    <s v="Carla Ferreira"/>
    <x v="2"/>
    <d v="2024-10-23T00:00:00"/>
    <x v="1"/>
    <n v="10"/>
    <x v="0"/>
    <s v="No"/>
    <s v="-"/>
    <s v="Yes"/>
    <n v="20"/>
    <n v="10"/>
    <n v="20"/>
    <x v="9"/>
  </r>
  <r>
    <n v="3472"/>
    <s v="Diogo Alves"/>
    <x v="1"/>
    <d v="2024-10-24T00:00:00"/>
    <x v="0"/>
    <n v="5"/>
    <x v="2"/>
    <s v="No"/>
    <s v="-"/>
    <s v="No"/>
    <n v="0"/>
    <n v="0"/>
    <n v="5"/>
    <x v="9"/>
  </r>
  <r>
    <n v="3473"/>
    <s v="Elisa Neves"/>
    <x v="0"/>
    <d v="2024-10-25T00:00:00"/>
    <x v="1"/>
    <n v="15"/>
    <x v="0"/>
    <s v="Yes"/>
    <n v="30"/>
    <s v="Yes"/>
    <n v="20"/>
    <n v="3"/>
    <n v="62"/>
    <x v="9"/>
  </r>
  <r>
    <n v="3474"/>
    <s v="Fabiano Pires"/>
    <x v="2"/>
    <d v="2024-10-26T00:00:00"/>
    <x v="0"/>
    <n v="10"/>
    <x v="1"/>
    <s v="No"/>
    <s v="-"/>
    <s v="Yes"/>
    <n v="20"/>
    <n v="15"/>
    <n v="15"/>
    <x v="9"/>
  </r>
  <r>
    <n v="3475"/>
    <s v="Giovana Ribeiro"/>
    <x v="1"/>
    <d v="2024-10-27T00:00:00"/>
    <x v="1"/>
    <n v="5"/>
    <x v="0"/>
    <s v="No"/>
    <s v="-"/>
    <s v="No"/>
    <n v="0"/>
    <n v="1"/>
    <n v="4"/>
    <x v="9"/>
  </r>
  <r>
    <n v="3476"/>
    <s v="Hélio Costa"/>
    <x v="0"/>
    <d v="2024-10-28T00:00:00"/>
    <x v="0"/>
    <n v="15"/>
    <x v="2"/>
    <s v="Yes"/>
    <n v="30"/>
    <s v="Yes"/>
    <n v="20"/>
    <n v="7"/>
    <n v="58"/>
    <x v="9"/>
  </r>
  <r>
    <n v="3477"/>
    <s v="Íris Loureiro"/>
    <x v="2"/>
    <d v="2024-10-29T00:00:00"/>
    <x v="1"/>
    <n v="10"/>
    <x v="0"/>
    <s v="No"/>
    <s v="-"/>
    <s v="Yes"/>
    <n v="20"/>
    <n v="10"/>
    <n v="20"/>
    <x v="9"/>
  </r>
  <r>
    <n v="3478"/>
    <s v="João Pereira"/>
    <x v="1"/>
    <d v="2024-10-30T00:00:00"/>
    <x v="0"/>
    <n v="5"/>
    <x v="1"/>
    <s v="No"/>
    <s v="-"/>
    <s v="No"/>
    <n v="0"/>
    <n v="0"/>
    <n v="5"/>
    <x v="9"/>
  </r>
  <r>
    <n v="3479"/>
    <s v="Klara Silva"/>
    <x v="0"/>
    <d v="2024-10-31T00:00:00"/>
    <x v="1"/>
    <n v="15"/>
    <x v="0"/>
    <s v="Yes"/>
    <n v="30"/>
    <s v="Yes"/>
    <n v="20"/>
    <n v="20"/>
    <n v="45"/>
    <x v="9"/>
  </r>
  <r>
    <n v="3480"/>
    <s v="Luciana Barros"/>
    <x v="2"/>
    <d v="2024-11-01T00:00:00"/>
    <x v="0"/>
    <n v="10"/>
    <x v="2"/>
    <s v="No"/>
    <s v="-"/>
    <s v="Yes"/>
    <n v="20"/>
    <n v="15"/>
    <n v="15"/>
    <x v="10"/>
  </r>
  <r>
    <n v="3481"/>
    <s v="Marcos Gomes"/>
    <x v="1"/>
    <d v="2024-11-02T00:00:00"/>
    <x v="1"/>
    <n v="5"/>
    <x v="0"/>
    <s v="No"/>
    <s v="-"/>
    <s v="No"/>
    <n v="0"/>
    <n v="1"/>
    <n v="4"/>
    <x v="10"/>
  </r>
  <r>
    <n v="3482"/>
    <s v="Natália Soares"/>
    <x v="0"/>
    <d v="2024-11-03T00:00:00"/>
    <x v="0"/>
    <n v="15"/>
    <x v="1"/>
    <s v="Yes"/>
    <n v="30"/>
    <s v="Yes"/>
    <n v="20"/>
    <n v="3"/>
    <n v="62"/>
    <x v="10"/>
  </r>
  <r>
    <n v="3483"/>
    <s v="Oscar Machado"/>
    <x v="2"/>
    <d v="2024-11-04T00:00:00"/>
    <x v="1"/>
    <n v="10"/>
    <x v="0"/>
    <s v="No"/>
    <s v="-"/>
    <s v="Yes"/>
    <n v="20"/>
    <n v="10"/>
    <n v="20"/>
    <x v="10"/>
  </r>
  <r>
    <n v="3484"/>
    <s v="Patrícia Lima"/>
    <x v="1"/>
    <d v="2024-11-05T00:00:00"/>
    <x v="0"/>
    <n v="5"/>
    <x v="2"/>
    <s v="No"/>
    <s v="-"/>
    <s v="No"/>
    <n v="0"/>
    <n v="0"/>
    <n v="5"/>
    <x v="10"/>
  </r>
  <r>
    <n v="3485"/>
    <s v="Quirino Neto"/>
    <x v="0"/>
    <d v="2024-11-06T00:00:00"/>
    <x v="1"/>
    <n v="15"/>
    <x v="0"/>
    <s v="Yes"/>
    <n v="30"/>
    <s v="Yes"/>
    <n v="20"/>
    <n v="15"/>
    <n v="50"/>
    <x v="10"/>
  </r>
  <r>
    <n v="3486"/>
    <s v="Rafaela Souza"/>
    <x v="1"/>
    <d v="2024-11-07T00:00:00"/>
    <x v="0"/>
    <n v="5"/>
    <x v="0"/>
    <s v="No"/>
    <s v="-"/>
    <s v="No"/>
    <n v="0"/>
    <n v="0"/>
    <n v="5"/>
    <x v="10"/>
  </r>
  <r>
    <n v="3487"/>
    <s v="Sandro Almeida"/>
    <x v="0"/>
    <d v="2024-11-08T00:00:00"/>
    <x v="1"/>
    <n v="15"/>
    <x v="2"/>
    <s v="Yes"/>
    <n v="30"/>
    <s v="Yes"/>
    <n v="20"/>
    <n v="7"/>
    <n v="58"/>
    <x v="10"/>
  </r>
  <r>
    <n v="3488"/>
    <s v="Tânia Ribeiro"/>
    <x v="2"/>
    <d v="2024-11-09T00:00:00"/>
    <x v="0"/>
    <n v="10"/>
    <x v="1"/>
    <s v="No"/>
    <s v="-"/>
    <s v="Yes"/>
    <n v="20"/>
    <n v="10"/>
    <n v="20"/>
    <x v="10"/>
  </r>
  <r>
    <n v="3489"/>
    <s v="Ugo Dias"/>
    <x v="1"/>
    <d v="2024-11-10T00:00:00"/>
    <x v="1"/>
    <n v="5"/>
    <x v="2"/>
    <s v="No"/>
    <s v="-"/>
    <s v="No"/>
    <n v="0"/>
    <n v="1"/>
    <n v="4"/>
    <x v="10"/>
  </r>
  <r>
    <n v="3490"/>
    <s v="Valéria Lima"/>
    <x v="0"/>
    <d v="2024-11-11T00:00:00"/>
    <x v="0"/>
    <n v="15"/>
    <x v="0"/>
    <s v="Yes"/>
    <n v="30"/>
    <s v="Yes"/>
    <n v="20"/>
    <n v="15"/>
    <n v="50"/>
    <x v="10"/>
  </r>
  <r>
    <n v="3491"/>
    <s v="William Fernandes"/>
    <x v="2"/>
    <d v="2024-11-12T00:00:00"/>
    <x v="1"/>
    <n v="10"/>
    <x v="0"/>
    <s v="No"/>
    <s v="-"/>
    <s v="Yes"/>
    <n v="20"/>
    <n v="5"/>
    <n v="25"/>
    <x v="10"/>
  </r>
  <r>
    <n v="3492"/>
    <s v="Xuxa Mendes"/>
    <x v="1"/>
    <d v="2024-11-13T00:00:00"/>
    <x v="0"/>
    <n v="5"/>
    <x v="1"/>
    <s v="No"/>
    <s v="-"/>
    <s v="No"/>
    <n v="0"/>
    <n v="0"/>
    <n v="5"/>
    <x v="10"/>
  </r>
  <r>
    <n v="3493"/>
    <s v="Ygor Farias"/>
    <x v="0"/>
    <d v="2024-11-14T00:00:00"/>
    <x v="1"/>
    <n v="15"/>
    <x v="2"/>
    <s v="Yes"/>
    <n v="30"/>
    <s v="Yes"/>
    <n v="20"/>
    <n v="20"/>
    <n v="45"/>
    <x v="10"/>
  </r>
  <r>
    <n v="3494"/>
    <s v="Zilda Barros"/>
    <x v="2"/>
    <d v="2024-11-15T00:00:00"/>
    <x v="0"/>
    <n v="10"/>
    <x v="2"/>
    <s v="No"/>
    <s v="-"/>
    <s v="Yes"/>
    <n v="20"/>
    <n v="12"/>
    <n v="18"/>
    <x v="10"/>
  </r>
  <r>
    <n v="3495"/>
    <s v="Amanda Santos"/>
    <x v="1"/>
    <d v="2024-11-16T00:00:00"/>
    <x v="1"/>
    <n v="5"/>
    <x v="0"/>
    <s v="No"/>
    <s v="-"/>
    <s v="No"/>
    <n v="0"/>
    <n v="2"/>
    <n v="3"/>
    <x v="10"/>
  </r>
  <r>
    <n v="3496"/>
    <s v="Bruno Costa"/>
    <x v="0"/>
    <d v="2024-11-17T00:00:00"/>
    <x v="0"/>
    <n v="15"/>
    <x v="1"/>
    <s v="Yes"/>
    <n v="30"/>
    <s v="Yes"/>
    <n v="20"/>
    <n v="5"/>
    <n v="60"/>
    <x v="10"/>
  </r>
  <r>
    <n v="3497"/>
    <s v="Carla Rodrigues"/>
    <x v="2"/>
    <d v="2024-11-18T00:00:00"/>
    <x v="1"/>
    <n v="10"/>
    <x v="0"/>
    <s v="No"/>
    <s v="-"/>
    <s v="Yes"/>
    <n v="20"/>
    <n v="10"/>
    <n v="20"/>
    <x v="10"/>
  </r>
  <r>
    <n v="3498"/>
    <s v="Diogo Pereira"/>
    <x v="1"/>
    <d v="2024-11-19T00:00:00"/>
    <x v="0"/>
    <n v="5"/>
    <x v="2"/>
    <s v="No"/>
    <s v="-"/>
    <s v="No"/>
    <n v="0"/>
    <n v="0"/>
    <n v="5"/>
    <x v="10"/>
  </r>
  <r>
    <n v="3499"/>
    <s v="Elisa Correia"/>
    <x v="0"/>
    <d v="2024-11-20T00:00:00"/>
    <x v="1"/>
    <n v="15"/>
    <x v="0"/>
    <s v="Yes"/>
    <n v="30"/>
    <s v="Yes"/>
    <n v="20"/>
    <n v="3"/>
    <n v="62"/>
    <x v="10"/>
  </r>
  <r>
    <n v="3500"/>
    <s v="Fábio Lourenço"/>
    <x v="2"/>
    <d v="2024-11-21T00:00:00"/>
    <x v="0"/>
    <n v="10"/>
    <x v="1"/>
    <s v="No"/>
    <s v="-"/>
    <s v="Yes"/>
    <n v="20"/>
    <n v="15"/>
    <n v="15"/>
    <x v="10"/>
  </r>
  <r>
    <n v="3501"/>
    <s v="Gabriela Neves"/>
    <x v="1"/>
    <d v="2024-11-22T00:00:00"/>
    <x v="1"/>
    <n v="5"/>
    <x v="0"/>
    <s v="No"/>
    <s v="-"/>
    <s v="No"/>
    <n v="0"/>
    <n v="1"/>
    <n v="4"/>
    <x v="10"/>
  </r>
  <r>
    <n v="3502"/>
    <s v="Henrique Gonçalves"/>
    <x v="0"/>
    <d v="2024-11-23T00:00:00"/>
    <x v="0"/>
    <n v="15"/>
    <x v="2"/>
    <s v="Yes"/>
    <n v="30"/>
    <s v="Yes"/>
    <n v="20"/>
    <n v="7"/>
    <n v="58"/>
    <x v="10"/>
  </r>
  <r>
    <n v="3503"/>
    <s v="Íris Santos"/>
    <x v="2"/>
    <d v="2024-11-24T00:00:00"/>
    <x v="1"/>
    <n v="10"/>
    <x v="0"/>
    <s v="No"/>
    <s v="-"/>
    <s v="Yes"/>
    <n v="20"/>
    <n v="10"/>
    <n v="20"/>
    <x v="10"/>
  </r>
  <r>
    <n v="3504"/>
    <s v="João Marcelo Alves"/>
    <x v="1"/>
    <d v="2024-11-25T00:00:00"/>
    <x v="0"/>
    <n v="5"/>
    <x v="1"/>
    <s v="No"/>
    <s v="-"/>
    <s v="No"/>
    <n v="0"/>
    <n v="0"/>
    <n v="5"/>
    <x v="10"/>
  </r>
  <r>
    <n v="3505"/>
    <s v="Klara Fonseca"/>
    <x v="0"/>
    <d v="2024-11-26T00:00:00"/>
    <x v="1"/>
    <n v="15"/>
    <x v="0"/>
    <s v="Yes"/>
    <n v="30"/>
    <s v="Yes"/>
    <n v="20"/>
    <n v="20"/>
    <n v="45"/>
    <x v="10"/>
  </r>
  <r>
    <n v="3506"/>
    <s v="Lucas Mendonça"/>
    <x v="2"/>
    <d v="2024-11-27T00:00:00"/>
    <x v="0"/>
    <n v="10"/>
    <x v="2"/>
    <s v="No"/>
    <s v="-"/>
    <s v="Yes"/>
    <n v="20"/>
    <n v="15"/>
    <n v="15"/>
    <x v="10"/>
  </r>
  <r>
    <n v="3507"/>
    <s v="Marcela Torres"/>
    <x v="1"/>
    <d v="2024-11-28T00:00:00"/>
    <x v="1"/>
    <n v="5"/>
    <x v="0"/>
    <s v="No"/>
    <s v="-"/>
    <s v="No"/>
    <n v="0"/>
    <n v="1"/>
    <n v="4"/>
    <x v="10"/>
  </r>
  <r>
    <n v="3508"/>
    <s v="Natália Castro"/>
    <x v="0"/>
    <d v="2024-11-29T00:00:00"/>
    <x v="0"/>
    <n v="15"/>
    <x v="1"/>
    <s v="Yes"/>
    <n v="30"/>
    <s v="Yes"/>
    <n v="20"/>
    <n v="3"/>
    <n v="62"/>
    <x v="10"/>
  </r>
  <r>
    <n v="3509"/>
    <s v="Oscar Martins"/>
    <x v="2"/>
    <d v="2024-11-30T00:00:00"/>
    <x v="1"/>
    <n v="10"/>
    <x v="0"/>
    <s v="No"/>
    <s v="-"/>
    <s v="Yes"/>
    <n v="20"/>
    <n v="10"/>
    <n v="20"/>
    <x v="10"/>
  </r>
  <r>
    <n v="3510"/>
    <s v="Patrícia Oliveira"/>
    <x v="1"/>
    <d v="2024-12-01T00:00:00"/>
    <x v="0"/>
    <n v="5"/>
    <x v="2"/>
    <s v="No"/>
    <s v="-"/>
    <s v="No"/>
    <n v="0"/>
    <n v="0"/>
    <n v="5"/>
    <x v="11"/>
  </r>
  <r>
    <n v="3511"/>
    <s v="Quentin Nogueira"/>
    <x v="0"/>
    <d v="2024-12-02T00:00:00"/>
    <x v="1"/>
    <n v="15"/>
    <x v="0"/>
    <s v="Yes"/>
    <n v="30"/>
    <s v="Yes"/>
    <n v="20"/>
    <n v="15"/>
    <n v="50"/>
    <x v="11"/>
  </r>
  <r>
    <n v="3512"/>
    <s v="Raquel Silva"/>
    <x v="2"/>
    <d v="2024-12-03T00:00:00"/>
    <x v="0"/>
    <n v="10"/>
    <x v="1"/>
    <s v="No"/>
    <s v="-"/>
    <s v="Yes"/>
    <n v="20"/>
    <n v="15"/>
    <n v="15"/>
    <x v="11"/>
  </r>
  <r>
    <n v="3513"/>
    <s v="Sandro Gomes"/>
    <x v="1"/>
    <d v="2024-12-04T00:00:00"/>
    <x v="1"/>
    <n v="5"/>
    <x v="0"/>
    <s v="No"/>
    <s v="-"/>
    <s v="No"/>
    <n v="0"/>
    <n v="1"/>
    <n v="4"/>
    <x v="11"/>
  </r>
  <r>
    <n v="3514"/>
    <s v="Tânia Machado"/>
    <x v="0"/>
    <d v="2024-12-05T00:00:00"/>
    <x v="0"/>
    <n v="15"/>
    <x v="2"/>
    <s v="Yes"/>
    <n v="30"/>
    <s v="Yes"/>
    <n v="20"/>
    <n v="7"/>
    <n v="58"/>
    <x v="11"/>
  </r>
  <r>
    <n v="3515"/>
    <s v="Ursula Silva"/>
    <x v="2"/>
    <d v="2024-12-06T00:00:00"/>
    <x v="1"/>
    <n v="10"/>
    <x v="0"/>
    <s v="No"/>
    <s v="-"/>
    <s v="Yes"/>
    <n v="20"/>
    <n v="10"/>
    <n v="20"/>
    <x v="11"/>
  </r>
  <r>
    <n v="3516"/>
    <s v="Vanessa Moraes"/>
    <x v="1"/>
    <d v="2024-12-07T00:00:00"/>
    <x v="0"/>
    <n v="5"/>
    <x v="1"/>
    <s v="No"/>
    <s v="-"/>
    <s v="No"/>
    <n v="0"/>
    <n v="0"/>
    <n v="5"/>
    <x v="11"/>
  </r>
  <r>
    <n v="3517"/>
    <s v="William Carvalho"/>
    <x v="0"/>
    <d v="2024-12-08T00:00:00"/>
    <x v="1"/>
    <n v="15"/>
    <x v="0"/>
    <s v="Yes"/>
    <n v="30"/>
    <s v="Yes"/>
    <n v="20"/>
    <n v="20"/>
    <n v="45"/>
    <x v="11"/>
  </r>
  <r>
    <n v="3518"/>
    <s v="Xavier Reis"/>
    <x v="2"/>
    <d v="2024-12-09T00:00:00"/>
    <x v="0"/>
    <n v="10"/>
    <x v="2"/>
    <s v="No"/>
    <s v="-"/>
    <s v="Yes"/>
    <n v="20"/>
    <n v="12"/>
    <n v="18"/>
    <x v="11"/>
  </r>
  <r>
    <n v="3519"/>
    <s v="Yasmin Rocha"/>
    <x v="1"/>
    <d v="2024-12-10T00:00:00"/>
    <x v="1"/>
    <n v="5"/>
    <x v="0"/>
    <s v="No"/>
    <s v="-"/>
    <s v="No"/>
    <n v="0"/>
    <n v="2"/>
    <n v="3"/>
    <x v="11"/>
  </r>
  <r>
    <n v="3520"/>
    <s v="Zacarias Duarte"/>
    <x v="0"/>
    <d v="2024-12-11T00:00:00"/>
    <x v="0"/>
    <n v="15"/>
    <x v="1"/>
    <s v="Yes"/>
    <n v="30"/>
    <s v="Yes"/>
    <n v="20"/>
    <n v="5"/>
    <n v="60"/>
    <x v="11"/>
  </r>
  <r>
    <n v="3521"/>
    <s v="Amanda Freitas"/>
    <x v="2"/>
    <d v="2024-12-12T00:00:00"/>
    <x v="1"/>
    <n v="10"/>
    <x v="0"/>
    <s v="No"/>
    <s v="-"/>
    <s v="Yes"/>
    <n v="20"/>
    <n v="10"/>
    <n v="20"/>
    <x v="11"/>
  </r>
  <r>
    <n v="3522"/>
    <s v="Bruno Almeida"/>
    <x v="1"/>
    <d v="2024-12-13T00:00:00"/>
    <x v="0"/>
    <n v="5"/>
    <x v="2"/>
    <s v="No"/>
    <s v="-"/>
    <s v="No"/>
    <n v="0"/>
    <n v="0"/>
    <n v="5"/>
    <x v="11"/>
  </r>
  <r>
    <n v="3523"/>
    <s v="Carla Siqueira"/>
    <x v="0"/>
    <d v="2024-12-14T00:00:00"/>
    <x v="1"/>
    <n v="15"/>
    <x v="0"/>
    <s v="Yes"/>
    <n v="30"/>
    <s v="Yes"/>
    <n v="20"/>
    <n v="3"/>
    <n v="62"/>
    <x v="11"/>
  </r>
  <r>
    <n v="3524"/>
    <s v="Diogo Ramos"/>
    <x v="2"/>
    <d v="2024-12-15T00:00:00"/>
    <x v="0"/>
    <n v="10"/>
    <x v="1"/>
    <s v="No"/>
    <s v="-"/>
    <s v="Yes"/>
    <n v="20"/>
    <n v="15"/>
    <n v="15"/>
    <x v="11"/>
  </r>
  <r>
    <n v="3525"/>
    <s v="Elisa Magalhães"/>
    <x v="1"/>
    <d v="2024-12-16T00:00:00"/>
    <x v="1"/>
    <n v="5"/>
    <x v="0"/>
    <s v="No"/>
    <s v="-"/>
    <s v="No"/>
    <n v="0"/>
    <n v="1"/>
    <n v="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2B194-E5C7-4BB6-8446-A3ABFFEB9167}" name="tbl_autorebewal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fieldListSortAscending="1">
  <location ref="B70:C73" firstHeaderRow="1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dataField="1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Auto Renewal" fld="4" subtotal="count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A5272-2EA5-4C19-BCA5-D0C5D2B58E1A}" name="tbl_%Plan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fieldListSortAscending="1">
  <location ref="B62:D66" firstHeaderRow="0" firstDataRow="1" firstDataCol="1"/>
  <pivotFields count="14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Plan" fld="2" subtotal="count" baseField="0" baseItem="0"/>
    <dataField name="Contagem de Plan2" fld="2" subtotal="count" showDataAs="percentOfTotal" baseField="2" baseItem="0" numFmtId="10"/>
  </dataFields>
  <chartFormats count="8"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6BBB7-48C3-4F94-B177-4894675D1A29}" name="tbl_month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5:C58" firstHeaderRow="1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88B4A-6FCB-46B6-BA03-3264EEA12CA4}" name="tbl_ticket_average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7:C41" firstHeaderRow="1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Total Value" fld="12" subtotal="average" baseField="6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419A1-EFB7-4271-AF84-1ED193EA6289}" name="tbl_minecraft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9:C33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637D8-EE77-4658-98CE-5AD27D4ED822}" name="tbl_EAseasonpass_total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9:C23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7F169-5A29-4C89-B0B5-E35FDC2DFD43}" name="tbl_annual_total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0:C13" firstHeaderRow="1" firstDataRow="1" firstDataCol="1" rowPageCount="1" colPageCount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A6CDC65-DFF9-405A-B85D-034767DF4123}" sourceName="Subscription Type">
  <pivotTables>
    <pivotTable tabId="3" name="tbl_annual_total"/>
    <pivotTable tabId="3" name="tbl_EAseasonpass_total"/>
    <pivotTable tabId="3" name="tbl_minecraft"/>
  </pivotTables>
  <data>
    <tabular pivotCacheId="847690048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46ECF3EB-734E-421E-81D2-3CA6DF6C238B}" sourceName="Plan">
  <pivotTables>
    <pivotTable tabId="3" name="tbl_ticket_average"/>
    <pivotTable tabId="3" name="tbl_annual_total"/>
    <pivotTable tabId="3" name="tbl_EAseasonpass_total"/>
    <pivotTable tabId="3" name="tbl_minecraft"/>
    <pivotTable tabId="3" name="tbl_month"/>
    <pivotTable tabId="3" name="tbl_%Plan"/>
    <pivotTable tabId="3" name="tbl_autorebewal"/>
  </pivotTables>
  <data>
    <tabular pivotCacheId="847690048">
      <items count="3">
        <i x="1" s="1"/>
        <i x="2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" xr10:uid="{D86860A9-32C3-4BE5-A381-8E5299B3FAFE}" sourceName="Month">
  <pivotTables>
    <pivotTable tabId="3" name="tbl_month"/>
    <pivotTable tabId="3" name="tbl_annual_total"/>
    <pivotTable tabId="3" name="tbl_EAseasonpass_total"/>
    <pivotTable tabId="3" name="tbl_minecraft"/>
    <pivotTable tabId="3" name="tbl_ticket_average"/>
    <pivotTable tabId="3" name="tbl_%Plan"/>
    <pivotTable tabId="3" name="tbl_autorebewal"/>
  </pivotTables>
  <data>
    <tabular pivotCacheId="847690048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959E0902-A6D9-4F50-B8C4-8088CC80A581}" sourceName="Auto Renewal">
  <pivotTables>
    <pivotTable tabId="3" name="tbl_autorebewal"/>
    <pivotTable tabId="3" name="tbl_%Plan"/>
    <pivotTable tabId="3" name="tbl_month"/>
    <pivotTable tabId="3" name="tbl_annual_total"/>
    <pivotTable tabId="3" name="tbl_EAseasonpass_total"/>
    <pivotTable tabId="3" name="tbl_minecraft"/>
    <pivotTable tabId="3" name="tbl_ticket_average"/>
  </pivotTables>
  <data>
    <tabular pivotCacheId="847690048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4CBA891-5499-4403-946B-914518158B51}" cache="SegmentaçãodeDados_Subscription_Type" caption="Subscription Type" style="SlicerStyleLight6 2" lockedPosition="1" rowHeight="257175"/>
  <slicer name="Plan" xr10:uid="{4319686B-D666-4BB3-ADF0-4A61D58B486A}" cache="SegmentaçãodeDados_Plan" caption="Plan" style="SlicerStyleLight6 2" lockedPosition="1" rowHeight="257175"/>
  <slicer name="Month" xr10:uid="{F26A2FB6-98FD-409F-A11E-AC4C46091CFC}" cache="SegmentaçãodeDados_Month" caption="Month" columnCount="3" style="SlicerStyleLight6 2" lockedPosition="1" rowHeight="257175"/>
  <slicer name="Auto Renewal" xr10:uid="{F45664BC-55AB-4251-B908-67C8A8AFD369}" cache="SegmentaçãodeDados_Auto_Renewal" caption="Auto Renewal" style="SlicerStyleLight6 2" lockedPosition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8">
  <autoFilter ref="A1:N296" xr:uid="{34E0E886-4200-4B36-97B3-63DB74FF40A0}">
    <filterColumn colId="7">
      <filters>
        <filter val="Yes"/>
      </filters>
    </filterColumn>
  </autoFilter>
  <tableColumns count="14">
    <tableColumn id="1" xr3:uid="{C4A90516-688A-46BF-9167-EA16C2A8A652}" name="Subscriber ID" dataDxfId="17"/>
    <tableColumn id="2" xr3:uid="{53DD39D0-2220-4121-9E9D-4EAA7E151C0F}" name="Name" dataDxfId="16"/>
    <tableColumn id="3" xr3:uid="{4F5FF271-4C57-4BE0-8F2C-F82C8551625C}" name="Plan" dataDxfId="15"/>
    <tableColumn id="4" xr3:uid="{8C17EB93-79B9-4E55-B8F7-BEB82F8253E9}" name="Start Date" dataDxfId="14"/>
    <tableColumn id="5" xr3:uid="{48CEDF9B-1689-482A-A828-5CCE7713264A}" name="Auto Renewal" dataDxfId="13"/>
    <tableColumn id="6" xr3:uid="{78B82374-9AA7-4E38-AE4F-78CDE6C83720}" name="Subscription Price" dataDxfId="12" dataCellStyle="Moeda"/>
    <tableColumn id="7" xr3:uid="{F2433F68-AF33-49D0-B1FB-19A396074EDE}" name="Subscription Type" dataDxfId="11"/>
    <tableColumn id="8" xr3:uid="{FD4D9C95-F6E5-4933-9068-A71FF7DF9343}" name="EA Play Season Pass" dataDxfId="10"/>
    <tableColumn id="13" xr3:uid="{978DD0D2-834E-4CE4-A39B-30976086932F}" name="EA Play Season Pass_x000a_Price" dataDxfId="9" dataCellStyle="Moeda"/>
    <tableColumn id="9" xr3:uid="{6E29F111-C395-4580-9DAD-3407D9E8B1A4}" name="Minecraft Season Pass" dataDxfId="8"/>
    <tableColumn id="10" xr3:uid="{EF544EAA-7F25-4FD5-A10E-8E62804DB9E3}" name="Minecraft Season Pass Price" dataDxfId="7" dataCellStyle="Moeda"/>
    <tableColumn id="11" xr3:uid="{7F6EB64A-1F07-4E48-9F0F-AC7D9DCD26F8}" name="Coupon Value" dataDxfId="6" dataCellStyle="Moeda"/>
    <tableColumn id="12" xr3:uid="{2B04ABC8-DE6F-426E-ADC0-D8AFC68CA58E}" name="Total Value" dataDxfId="5" dataCellStyle="Moeda"/>
    <tableColumn id="14" xr3:uid="{BAEA88CE-1DC3-480C-88FF-C19C0EFDE929}" name="Month" dataDxfId="2" dataCellStyle="Moeda">
      <calculatedColumnFormula>MONTH(Tabela1[[#This Row],[Start Date]])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N20" sqref="N2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zoomScale="90" zoomScaleNormal="90" workbookViewId="0">
      <selection activeCell="N20" sqref="N2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  <col min="14" max="14" width="9.140625" style="18"/>
  </cols>
  <sheetData>
    <row r="1" spans="1:14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s="20" t="s">
        <v>327</v>
      </c>
    </row>
    <row r="2" spans="1:14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9">
        <f>MONTH(Tabela1[[#This Row],[Start Date]])</f>
        <v>1</v>
      </c>
    </row>
    <row r="3" spans="1:14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  <c r="N3" s="11">
        <f>MONTH(Tabela1[[#This Row],[Start Date]])</f>
        <v>1</v>
      </c>
    </row>
    <row r="4" spans="1:14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  <c r="N4" s="11">
        <f>MONTH(Tabela1[[#This Row],[Start Date]])</f>
        <v>2</v>
      </c>
    </row>
    <row r="5" spans="1:14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9">
        <f>MONTH(Tabela1[[#This Row],[Start Date]])</f>
        <v>2</v>
      </c>
    </row>
    <row r="6" spans="1:14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  <c r="N6" s="11">
        <f>MONTH(Tabela1[[#This Row],[Start Date]])</f>
        <v>3</v>
      </c>
    </row>
    <row r="7" spans="1:14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  <c r="N7" s="11">
        <f>MONTH(Tabela1[[#This Row],[Start Date]])</f>
        <v>3</v>
      </c>
    </row>
    <row r="8" spans="1:14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9">
        <f>MONTH(Tabela1[[#This Row],[Start Date]])</f>
        <v>3</v>
      </c>
    </row>
    <row r="9" spans="1:14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  <c r="N9" s="11">
        <f>MONTH(Tabela1[[#This Row],[Start Date]])</f>
        <v>3</v>
      </c>
    </row>
    <row r="10" spans="1:14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9">
        <f>MONTH(Tabela1[[#This Row],[Start Date]])</f>
        <v>3</v>
      </c>
    </row>
    <row r="11" spans="1:14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  <c r="N11" s="11">
        <f>MONTH(Tabela1[[#This Row],[Start Date]])</f>
        <v>3</v>
      </c>
    </row>
    <row r="12" spans="1:14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  <c r="N12" s="11">
        <f>MONTH(Tabela1[[#This Row],[Start Date]])</f>
        <v>3</v>
      </c>
    </row>
    <row r="13" spans="1:14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9">
        <f>MONTH(Tabela1[[#This Row],[Start Date]])</f>
        <v>3</v>
      </c>
    </row>
    <row r="14" spans="1:14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  <c r="N14" s="11">
        <f>MONTH(Tabela1[[#This Row],[Start Date]])</f>
        <v>3</v>
      </c>
    </row>
    <row r="15" spans="1:14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  <c r="N15" s="11">
        <f>MONTH(Tabela1[[#This Row],[Start Date]])</f>
        <v>3</v>
      </c>
    </row>
    <row r="16" spans="1:14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9">
        <f>MONTH(Tabela1[[#This Row],[Start Date]])</f>
        <v>3</v>
      </c>
    </row>
    <row r="17" spans="1:14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  <c r="N17" s="11">
        <f>MONTH(Tabela1[[#This Row],[Start Date]])</f>
        <v>3</v>
      </c>
    </row>
    <row r="18" spans="1:14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  <c r="N18" s="11">
        <f>MONTH(Tabela1[[#This Row],[Start Date]])</f>
        <v>3</v>
      </c>
    </row>
    <row r="19" spans="1:14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9">
        <f>MONTH(Tabela1[[#This Row],[Start Date]])</f>
        <v>3</v>
      </c>
    </row>
    <row r="20" spans="1:14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  <c r="N20" s="11">
        <f>MONTH(Tabela1[[#This Row],[Start Date]])</f>
        <v>3</v>
      </c>
    </row>
    <row r="21" spans="1:14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  <c r="N21" s="11">
        <f>MONTH(Tabela1[[#This Row],[Start Date]])</f>
        <v>3</v>
      </c>
    </row>
    <row r="22" spans="1:14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9">
        <f>MONTH(Tabela1[[#This Row],[Start Date]])</f>
        <v>3</v>
      </c>
    </row>
    <row r="23" spans="1:14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  <c r="N23" s="11">
        <f>MONTH(Tabela1[[#This Row],[Start Date]])</f>
        <v>3</v>
      </c>
    </row>
    <row r="24" spans="1:14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  <c r="N24" s="11">
        <f>MONTH(Tabela1[[#This Row],[Start Date]])</f>
        <v>3</v>
      </c>
    </row>
    <row r="25" spans="1:14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9">
        <f>MONTH(Tabela1[[#This Row],[Start Date]])</f>
        <v>3</v>
      </c>
    </row>
    <row r="26" spans="1:14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  <c r="N26" s="11">
        <f>MONTH(Tabela1[[#This Row],[Start Date]])</f>
        <v>3</v>
      </c>
    </row>
    <row r="27" spans="1:14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  <c r="N27" s="11">
        <f>MONTH(Tabela1[[#This Row],[Start Date]])</f>
        <v>3</v>
      </c>
    </row>
    <row r="28" spans="1:14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9">
        <f>MONTH(Tabela1[[#This Row],[Start Date]])</f>
        <v>3</v>
      </c>
    </row>
    <row r="29" spans="1:14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  <c r="N29" s="11">
        <f>MONTH(Tabela1[[#This Row],[Start Date]])</f>
        <v>3</v>
      </c>
    </row>
    <row r="30" spans="1:14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  <c r="N30" s="11">
        <f>MONTH(Tabela1[[#This Row],[Start Date]])</f>
        <v>3</v>
      </c>
    </row>
    <row r="31" spans="1:14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9">
        <f>MONTH(Tabela1[[#This Row],[Start Date]])</f>
        <v>3</v>
      </c>
    </row>
    <row r="32" spans="1:14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  <c r="N32" s="11">
        <f>MONTH(Tabela1[[#This Row],[Start Date]])</f>
        <v>3</v>
      </c>
    </row>
    <row r="33" spans="1:14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  <c r="N33" s="11">
        <f>MONTH(Tabela1[[#This Row],[Start Date]])</f>
        <v>3</v>
      </c>
    </row>
    <row r="34" spans="1:14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9">
        <f>MONTH(Tabela1[[#This Row],[Start Date]])</f>
        <v>3</v>
      </c>
    </row>
    <row r="35" spans="1:14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  <c r="N35" s="11">
        <f>MONTH(Tabela1[[#This Row],[Start Date]])</f>
        <v>3</v>
      </c>
    </row>
    <row r="36" spans="1:14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  <c r="N36" s="11">
        <f>MONTH(Tabela1[[#This Row],[Start Date]])</f>
        <v>3</v>
      </c>
    </row>
    <row r="37" spans="1:14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  <c r="N37" s="11">
        <f>MONTH(Tabela1[[#This Row],[Start Date]])</f>
        <v>4</v>
      </c>
    </row>
    <row r="38" spans="1:14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9">
        <f>MONTH(Tabela1[[#This Row],[Start Date]])</f>
        <v>4</v>
      </c>
    </row>
    <row r="39" spans="1:14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  <c r="N39" s="11">
        <f>MONTH(Tabela1[[#This Row],[Start Date]])</f>
        <v>4</v>
      </c>
    </row>
    <row r="40" spans="1:14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  <c r="N40" s="11">
        <f>MONTH(Tabela1[[#This Row],[Start Date]])</f>
        <v>4</v>
      </c>
    </row>
    <row r="41" spans="1:14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9">
        <f>MONTH(Tabela1[[#This Row],[Start Date]])</f>
        <v>4</v>
      </c>
    </row>
    <row r="42" spans="1:14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  <c r="N42" s="11">
        <f>MONTH(Tabela1[[#This Row],[Start Date]])</f>
        <v>4</v>
      </c>
    </row>
    <row r="43" spans="1:14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  <c r="N43" s="11">
        <f>MONTH(Tabela1[[#This Row],[Start Date]])</f>
        <v>4</v>
      </c>
    </row>
    <row r="44" spans="1:14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9">
        <f>MONTH(Tabela1[[#This Row],[Start Date]])</f>
        <v>4</v>
      </c>
    </row>
    <row r="45" spans="1:14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  <c r="N45" s="11">
        <f>MONTH(Tabela1[[#This Row],[Start Date]])</f>
        <v>4</v>
      </c>
    </row>
    <row r="46" spans="1:14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  <c r="N46" s="11">
        <f>MONTH(Tabela1[[#This Row],[Start Date]])</f>
        <v>4</v>
      </c>
    </row>
    <row r="47" spans="1:14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9">
        <f>MONTH(Tabela1[[#This Row],[Start Date]])</f>
        <v>4</v>
      </c>
    </row>
    <row r="48" spans="1:14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  <c r="N48" s="11">
        <f>MONTH(Tabela1[[#This Row],[Start Date]])</f>
        <v>4</v>
      </c>
    </row>
    <row r="49" spans="1:14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  <c r="N49" s="11">
        <f>MONTH(Tabela1[[#This Row],[Start Date]])</f>
        <v>4</v>
      </c>
    </row>
    <row r="50" spans="1:14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9">
        <f>MONTH(Tabela1[[#This Row],[Start Date]])</f>
        <v>4</v>
      </c>
    </row>
    <row r="51" spans="1:14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  <c r="N51" s="11">
        <f>MONTH(Tabela1[[#This Row],[Start Date]])</f>
        <v>4</v>
      </c>
    </row>
    <row r="52" spans="1:14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  <c r="N52" s="11">
        <f>MONTH(Tabela1[[#This Row],[Start Date]])</f>
        <v>4</v>
      </c>
    </row>
    <row r="53" spans="1:14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9">
        <f>MONTH(Tabela1[[#This Row],[Start Date]])</f>
        <v>4</v>
      </c>
    </row>
    <row r="54" spans="1:14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  <c r="N54" s="11">
        <f>MONTH(Tabela1[[#This Row],[Start Date]])</f>
        <v>4</v>
      </c>
    </row>
    <row r="55" spans="1:14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  <c r="N55" s="11">
        <f>MONTH(Tabela1[[#This Row],[Start Date]])</f>
        <v>4</v>
      </c>
    </row>
    <row r="56" spans="1:14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9">
        <f>MONTH(Tabela1[[#This Row],[Start Date]])</f>
        <v>4</v>
      </c>
    </row>
    <row r="57" spans="1:14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  <c r="N57" s="11">
        <f>MONTH(Tabela1[[#This Row],[Start Date]])</f>
        <v>4</v>
      </c>
    </row>
    <row r="58" spans="1:14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  <c r="N58" s="11">
        <f>MONTH(Tabela1[[#This Row],[Start Date]])</f>
        <v>4</v>
      </c>
    </row>
    <row r="59" spans="1:14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9">
        <f>MONTH(Tabela1[[#This Row],[Start Date]])</f>
        <v>4</v>
      </c>
    </row>
    <row r="60" spans="1:14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  <c r="N60" s="11">
        <f>MONTH(Tabela1[[#This Row],[Start Date]])</f>
        <v>4</v>
      </c>
    </row>
    <row r="61" spans="1:14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  <c r="N61" s="11">
        <f>MONTH(Tabela1[[#This Row],[Start Date]])</f>
        <v>4</v>
      </c>
    </row>
    <row r="62" spans="1:14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9">
        <f>MONTH(Tabela1[[#This Row],[Start Date]])</f>
        <v>4</v>
      </c>
    </row>
    <row r="63" spans="1:14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  <c r="N63" s="11">
        <f>MONTH(Tabela1[[#This Row],[Start Date]])</f>
        <v>4</v>
      </c>
    </row>
    <row r="64" spans="1:14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  <c r="N64" s="11">
        <f>MONTH(Tabela1[[#This Row],[Start Date]])</f>
        <v>4</v>
      </c>
    </row>
    <row r="65" spans="1:14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9">
        <f>MONTH(Tabela1[[#This Row],[Start Date]])</f>
        <v>4</v>
      </c>
    </row>
    <row r="66" spans="1:14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  <c r="N66" s="11">
        <f>MONTH(Tabela1[[#This Row],[Start Date]])</f>
        <v>4</v>
      </c>
    </row>
    <row r="67" spans="1:14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  <c r="N67" s="11">
        <f>MONTH(Tabela1[[#This Row],[Start Date]])</f>
        <v>5</v>
      </c>
    </row>
    <row r="68" spans="1:14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9">
        <f>MONTH(Tabela1[[#This Row],[Start Date]])</f>
        <v>5</v>
      </c>
    </row>
    <row r="69" spans="1:14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  <c r="N69" s="11">
        <f>MONTH(Tabela1[[#This Row],[Start Date]])</f>
        <v>5</v>
      </c>
    </row>
    <row r="70" spans="1:14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  <c r="N70" s="11">
        <f>MONTH(Tabela1[[#This Row],[Start Date]])</f>
        <v>5</v>
      </c>
    </row>
    <row r="71" spans="1:14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9">
        <f>MONTH(Tabela1[[#This Row],[Start Date]])</f>
        <v>5</v>
      </c>
    </row>
    <row r="72" spans="1:14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  <c r="N72" s="11">
        <f>MONTH(Tabela1[[#This Row],[Start Date]])</f>
        <v>5</v>
      </c>
    </row>
    <row r="73" spans="1:14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  <c r="N73" s="11">
        <f>MONTH(Tabela1[[#This Row],[Start Date]])</f>
        <v>5</v>
      </c>
    </row>
    <row r="74" spans="1:14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9">
        <f>MONTH(Tabela1[[#This Row],[Start Date]])</f>
        <v>5</v>
      </c>
    </row>
    <row r="75" spans="1:14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  <c r="N75" s="11">
        <f>MONTH(Tabela1[[#This Row],[Start Date]])</f>
        <v>5</v>
      </c>
    </row>
    <row r="76" spans="1:14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  <c r="N76" s="11">
        <f>MONTH(Tabela1[[#This Row],[Start Date]])</f>
        <v>5</v>
      </c>
    </row>
    <row r="77" spans="1:14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9">
        <f>MONTH(Tabela1[[#This Row],[Start Date]])</f>
        <v>5</v>
      </c>
    </row>
    <row r="78" spans="1:14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  <c r="N78" s="11">
        <f>MONTH(Tabela1[[#This Row],[Start Date]])</f>
        <v>5</v>
      </c>
    </row>
    <row r="79" spans="1:14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  <c r="N79" s="11">
        <f>MONTH(Tabela1[[#This Row],[Start Date]])</f>
        <v>5</v>
      </c>
    </row>
    <row r="80" spans="1:14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9">
        <f>MONTH(Tabela1[[#This Row],[Start Date]])</f>
        <v>5</v>
      </c>
    </row>
    <row r="81" spans="1:14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  <c r="N81" s="11">
        <f>MONTH(Tabela1[[#This Row],[Start Date]])</f>
        <v>5</v>
      </c>
    </row>
    <row r="82" spans="1:14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  <c r="N82" s="11">
        <f>MONTH(Tabela1[[#This Row],[Start Date]])</f>
        <v>5</v>
      </c>
    </row>
    <row r="83" spans="1:14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9">
        <f>MONTH(Tabela1[[#This Row],[Start Date]])</f>
        <v>5</v>
      </c>
    </row>
    <row r="84" spans="1:14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  <c r="N84" s="11">
        <f>MONTH(Tabela1[[#This Row],[Start Date]])</f>
        <v>5</v>
      </c>
    </row>
    <row r="85" spans="1:14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  <c r="N85" s="11">
        <f>MONTH(Tabela1[[#This Row],[Start Date]])</f>
        <v>5</v>
      </c>
    </row>
    <row r="86" spans="1:14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9">
        <f>MONTH(Tabela1[[#This Row],[Start Date]])</f>
        <v>5</v>
      </c>
    </row>
    <row r="87" spans="1:14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  <c r="N87" s="11">
        <f>MONTH(Tabela1[[#This Row],[Start Date]])</f>
        <v>5</v>
      </c>
    </row>
    <row r="88" spans="1:14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  <c r="N88" s="11">
        <f>MONTH(Tabela1[[#This Row],[Start Date]])</f>
        <v>5</v>
      </c>
    </row>
    <row r="89" spans="1:14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9">
        <f>MONTH(Tabela1[[#This Row],[Start Date]])</f>
        <v>5</v>
      </c>
    </row>
    <row r="90" spans="1:14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  <c r="N90" s="11">
        <f>MONTH(Tabela1[[#This Row],[Start Date]])</f>
        <v>5</v>
      </c>
    </row>
    <row r="91" spans="1:14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  <c r="N91" s="11">
        <f>MONTH(Tabela1[[#This Row],[Start Date]])</f>
        <v>5</v>
      </c>
    </row>
    <row r="92" spans="1:14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9">
        <f>MONTH(Tabela1[[#This Row],[Start Date]])</f>
        <v>5</v>
      </c>
    </row>
    <row r="93" spans="1:14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  <c r="N93" s="11">
        <f>MONTH(Tabela1[[#This Row],[Start Date]])</f>
        <v>5</v>
      </c>
    </row>
    <row r="94" spans="1:14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  <c r="N94" s="11">
        <f>MONTH(Tabela1[[#This Row],[Start Date]])</f>
        <v>5</v>
      </c>
    </row>
    <row r="95" spans="1:14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9">
        <f>MONTH(Tabela1[[#This Row],[Start Date]])</f>
        <v>5</v>
      </c>
    </row>
    <row r="96" spans="1:14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  <c r="N96" s="11">
        <f>MONTH(Tabela1[[#This Row],[Start Date]])</f>
        <v>5</v>
      </c>
    </row>
    <row r="97" spans="1:14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  <c r="N97" s="11">
        <f>MONTH(Tabela1[[#This Row],[Start Date]])</f>
        <v>5</v>
      </c>
    </row>
    <row r="98" spans="1:14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9">
        <f>MONTH(Tabela1[[#This Row],[Start Date]])</f>
        <v>6</v>
      </c>
    </row>
    <row r="99" spans="1:14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  <c r="N99" s="11">
        <f>MONTH(Tabela1[[#This Row],[Start Date]])</f>
        <v>6</v>
      </c>
    </row>
    <row r="100" spans="1:14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  <c r="N100" s="11">
        <f>MONTH(Tabela1[[#This Row],[Start Date]])</f>
        <v>6</v>
      </c>
    </row>
    <row r="101" spans="1:14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9">
        <f>MONTH(Tabela1[[#This Row],[Start Date]])</f>
        <v>6</v>
      </c>
    </row>
    <row r="102" spans="1:14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  <c r="N102" s="11">
        <f>MONTH(Tabela1[[#This Row],[Start Date]])</f>
        <v>6</v>
      </c>
    </row>
    <row r="103" spans="1:14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  <c r="N103" s="11">
        <f>MONTH(Tabela1[[#This Row],[Start Date]])</f>
        <v>6</v>
      </c>
    </row>
    <row r="104" spans="1:14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9">
        <f>MONTH(Tabela1[[#This Row],[Start Date]])</f>
        <v>6</v>
      </c>
    </row>
    <row r="105" spans="1:14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  <c r="N105" s="11">
        <f>MONTH(Tabela1[[#This Row],[Start Date]])</f>
        <v>6</v>
      </c>
    </row>
    <row r="106" spans="1:14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  <c r="N106" s="11">
        <f>MONTH(Tabela1[[#This Row],[Start Date]])</f>
        <v>6</v>
      </c>
    </row>
    <row r="107" spans="1:14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  <c r="N107" s="11">
        <f>MONTH(Tabela1[[#This Row],[Start Date]])</f>
        <v>6</v>
      </c>
    </row>
    <row r="108" spans="1:14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9">
        <f>MONTH(Tabela1[[#This Row],[Start Date]])</f>
        <v>6</v>
      </c>
    </row>
    <row r="109" spans="1:14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  <c r="N109" s="11">
        <f>MONTH(Tabela1[[#This Row],[Start Date]])</f>
        <v>6</v>
      </c>
    </row>
    <row r="110" spans="1:14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  <c r="N110" s="11">
        <f>MONTH(Tabela1[[#This Row],[Start Date]])</f>
        <v>6</v>
      </c>
    </row>
    <row r="111" spans="1:14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9">
        <f>MONTH(Tabela1[[#This Row],[Start Date]])</f>
        <v>6</v>
      </c>
    </row>
    <row r="112" spans="1:14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  <c r="N112" s="11">
        <f>MONTH(Tabela1[[#This Row],[Start Date]])</f>
        <v>6</v>
      </c>
    </row>
    <row r="113" spans="1:14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  <c r="N113" s="11">
        <f>MONTH(Tabela1[[#This Row],[Start Date]])</f>
        <v>6</v>
      </c>
    </row>
    <row r="114" spans="1:14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9">
        <f>MONTH(Tabela1[[#This Row],[Start Date]])</f>
        <v>6</v>
      </c>
    </row>
    <row r="115" spans="1:14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  <c r="N115" s="11">
        <f>MONTH(Tabela1[[#This Row],[Start Date]])</f>
        <v>6</v>
      </c>
    </row>
    <row r="116" spans="1:14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  <c r="N116" s="11">
        <f>MONTH(Tabela1[[#This Row],[Start Date]])</f>
        <v>6</v>
      </c>
    </row>
    <row r="117" spans="1:14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9">
        <f>MONTH(Tabela1[[#This Row],[Start Date]])</f>
        <v>6</v>
      </c>
    </row>
    <row r="118" spans="1:14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  <c r="N118" s="11">
        <f>MONTH(Tabela1[[#This Row],[Start Date]])</f>
        <v>6</v>
      </c>
    </row>
    <row r="119" spans="1:14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  <c r="N119" s="11">
        <f>MONTH(Tabela1[[#This Row],[Start Date]])</f>
        <v>6</v>
      </c>
    </row>
    <row r="120" spans="1:14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9">
        <f>MONTH(Tabela1[[#This Row],[Start Date]])</f>
        <v>6</v>
      </c>
    </row>
    <row r="121" spans="1:14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  <c r="N121" s="11">
        <f>MONTH(Tabela1[[#This Row],[Start Date]])</f>
        <v>6</v>
      </c>
    </row>
    <row r="122" spans="1:14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  <c r="N122" s="11">
        <f>MONTH(Tabela1[[#This Row],[Start Date]])</f>
        <v>6</v>
      </c>
    </row>
    <row r="123" spans="1:14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9">
        <f>MONTH(Tabela1[[#This Row],[Start Date]])</f>
        <v>6</v>
      </c>
    </row>
    <row r="124" spans="1:14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  <c r="N124" s="11">
        <f>MONTH(Tabela1[[#This Row],[Start Date]])</f>
        <v>6</v>
      </c>
    </row>
    <row r="125" spans="1:14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  <c r="N125" s="11">
        <f>MONTH(Tabela1[[#This Row],[Start Date]])</f>
        <v>6</v>
      </c>
    </row>
    <row r="126" spans="1:14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9">
        <f>MONTH(Tabela1[[#This Row],[Start Date]])</f>
        <v>6</v>
      </c>
    </row>
    <row r="127" spans="1:14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  <c r="N127" s="11">
        <f>MONTH(Tabela1[[#This Row],[Start Date]])</f>
        <v>6</v>
      </c>
    </row>
    <row r="128" spans="1:14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  <c r="N128" s="11">
        <f>MONTH(Tabela1[[#This Row],[Start Date]])</f>
        <v>7</v>
      </c>
    </row>
    <row r="129" spans="1:14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9">
        <f>MONTH(Tabela1[[#This Row],[Start Date]])</f>
        <v>7</v>
      </c>
    </row>
    <row r="130" spans="1:14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  <c r="N130" s="11">
        <f>MONTH(Tabela1[[#This Row],[Start Date]])</f>
        <v>7</v>
      </c>
    </row>
    <row r="131" spans="1:14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  <c r="N131" s="11">
        <f>MONTH(Tabela1[[#This Row],[Start Date]])</f>
        <v>7</v>
      </c>
    </row>
    <row r="132" spans="1:14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9">
        <f>MONTH(Tabela1[[#This Row],[Start Date]])</f>
        <v>7</v>
      </c>
    </row>
    <row r="133" spans="1:14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  <c r="N133" s="11">
        <f>MONTH(Tabela1[[#This Row],[Start Date]])</f>
        <v>7</v>
      </c>
    </row>
    <row r="134" spans="1:14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  <c r="N134" s="11">
        <f>MONTH(Tabela1[[#This Row],[Start Date]])</f>
        <v>7</v>
      </c>
    </row>
    <row r="135" spans="1:14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9">
        <f>MONTH(Tabela1[[#This Row],[Start Date]])</f>
        <v>7</v>
      </c>
    </row>
    <row r="136" spans="1:14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  <c r="N136" s="11">
        <f>MONTH(Tabela1[[#This Row],[Start Date]])</f>
        <v>7</v>
      </c>
    </row>
    <row r="137" spans="1:14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  <c r="N137" s="11">
        <f>MONTH(Tabela1[[#This Row],[Start Date]])</f>
        <v>7</v>
      </c>
    </row>
    <row r="138" spans="1:14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9">
        <f>MONTH(Tabela1[[#This Row],[Start Date]])</f>
        <v>7</v>
      </c>
    </row>
    <row r="139" spans="1:14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  <c r="N139" s="11">
        <f>MONTH(Tabela1[[#This Row],[Start Date]])</f>
        <v>7</v>
      </c>
    </row>
    <row r="140" spans="1:14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  <c r="N140" s="11">
        <f>MONTH(Tabela1[[#This Row],[Start Date]])</f>
        <v>7</v>
      </c>
    </row>
    <row r="141" spans="1:14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9">
        <f>MONTH(Tabela1[[#This Row],[Start Date]])</f>
        <v>7</v>
      </c>
    </row>
    <row r="142" spans="1:14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  <c r="N142" s="11">
        <f>MONTH(Tabela1[[#This Row],[Start Date]])</f>
        <v>7</v>
      </c>
    </row>
    <row r="143" spans="1:14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  <c r="N143" s="11">
        <f>MONTH(Tabela1[[#This Row],[Start Date]])</f>
        <v>7</v>
      </c>
    </row>
    <row r="144" spans="1:14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9">
        <f>MONTH(Tabela1[[#This Row],[Start Date]])</f>
        <v>7</v>
      </c>
    </row>
    <row r="145" spans="1:14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  <c r="N145" s="11">
        <f>MONTH(Tabela1[[#This Row],[Start Date]])</f>
        <v>7</v>
      </c>
    </row>
    <row r="146" spans="1:14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  <c r="N146" s="11">
        <f>MONTH(Tabela1[[#This Row],[Start Date]])</f>
        <v>7</v>
      </c>
    </row>
    <row r="147" spans="1:14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9">
        <f>MONTH(Tabela1[[#This Row],[Start Date]])</f>
        <v>7</v>
      </c>
    </row>
    <row r="148" spans="1:14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  <c r="N148" s="11">
        <f>MONTH(Tabela1[[#This Row],[Start Date]])</f>
        <v>7</v>
      </c>
    </row>
    <row r="149" spans="1:14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  <c r="N149" s="11">
        <f>MONTH(Tabela1[[#This Row],[Start Date]])</f>
        <v>7</v>
      </c>
    </row>
    <row r="150" spans="1:14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9">
        <f>MONTH(Tabela1[[#This Row],[Start Date]])</f>
        <v>7</v>
      </c>
    </row>
    <row r="151" spans="1:14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  <c r="N151" s="11">
        <f>MONTH(Tabela1[[#This Row],[Start Date]])</f>
        <v>7</v>
      </c>
    </row>
    <row r="152" spans="1:14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  <c r="N152" s="11">
        <f>MONTH(Tabela1[[#This Row],[Start Date]])</f>
        <v>7</v>
      </c>
    </row>
    <row r="153" spans="1:14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9">
        <f>MONTH(Tabela1[[#This Row],[Start Date]])</f>
        <v>7</v>
      </c>
    </row>
    <row r="154" spans="1:14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  <c r="N154" s="11">
        <f>MONTH(Tabela1[[#This Row],[Start Date]])</f>
        <v>7</v>
      </c>
    </row>
    <row r="155" spans="1:14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  <c r="N155" s="11">
        <f>MONTH(Tabela1[[#This Row],[Start Date]])</f>
        <v>7</v>
      </c>
    </row>
    <row r="156" spans="1:14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9">
        <f>MONTH(Tabela1[[#This Row],[Start Date]])</f>
        <v>7</v>
      </c>
    </row>
    <row r="157" spans="1:14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  <c r="N157" s="11">
        <f>MONTH(Tabela1[[#This Row],[Start Date]])</f>
        <v>7</v>
      </c>
    </row>
    <row r="158" spans="1:14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  <c r="N158" s="11">
        <f>MONTH(Tabela1[[#This Row],[Start Date]])</f>
        <v>7</v>
      </c>
    </row>
    <row r="159" spans="1:14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9">
        <f>MONTH(Tabela1[[#This Row],[Start Date]])</f>
        <v>8</v>
      </c>
    </row>
    <row r="160" spans="1:14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  <c r="N160" s="11">
        <f>MONTH(Tabela1[[#This Row],[Start Date]])</f>
        <v>8</v>
      </c>
    </row>
    <row r="161" spans="1:14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  <c r="N161" s="11">
        <f>MONTH(Tabela1[[#This Row],[Start Date]])</f>
        <v>8</v>
      </c>
    </row>
    <row r="162" spans="1:14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9">
        <f>MONTH(Tabela1[[#This Row],[Start Date]])</f>
        <v>8</v>
      </c>
    </row>
    <row r="163" spans="1:14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  <c r="N163" s="11">
        <f>MONTH(Tabela1[[#This Row],[Start Date]])</f>
        <v>8</v>
      </c>
    </row>
    <row r="164" spans="1:14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  <c r="N164" s="11">
        <f>MONTH(Tabela1[[#This Row],[Start Date]])</f>
        <v>8</v>
      </c>
    </row>
    <row r="165" spans="1:14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9">
        <f>MONTH(Tabela1[[#This Row],[Start Date]])</f>
        <v>8</v>
      </c>
    </row>
    <row r="166" spans="1:14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  <c r="N166" s="11">
        <f>MONTH(Tabela1[[#This Row],[Start Date]])</f>
        <v>8</v>
      </c>
    </row>
    <row r="167" spans="1:14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  <c r="N167" s="11">
        <f>MONTH(Tabela1[[#This Row],[Start Date]])</f>
        <v>8</v>
      </c>
    </row>
    <row r="168" spans="1:14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9">
        <f>MONTH(Tabela1[[#This Row],[Start Date]])</f>
        <v>8</v>
      </c>
    </row>
    <row r="169" spans="1:14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  <c r="N169" s="11">
        <f>MONTH(Tabela1[[#This Row],[Start Date]])</f>
        <v>8</v>
      </c>
    </row>
    <row r="170" spans="1:14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  <c r="N170" s="11">
        <f>MONTH(Tabela1[[#This Row],[Start Date]])</f>
        <v>8</v>
      </c>
    </row>
    <row r="171" spans="1:14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9">
        <f>MONTH(Tabela1[[#This Row],[Start Date]])</f>
        <v>8</v>
      </c>
    </row>
    <row r="172" spans="1:14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  <c r="N172" s="11">
        <f>MONTH(Tabela1[[#This Row],[Start Date]])</f>
        <v>8</v>
      </c>
    </row>
    <row r="173" spans="1:14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  <c r="N173" s="11">
        <f>MONTH(Tabela1[[#This Row],[Start Date]])</f>
        <v>8</v>
      </c>
    </row>
    <row r="174" spans="1:14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9">
        <f>MONTH(Tabela1[[#This Row],[Start Date]])</f>
        <v>8</v>
      </c>
    </row>
    <row r="175" spans="1:14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  <c r="N175" s="11">
        <f>MONTH(Tabela1[[#This Row],[Start Date]])</f>
        <v>8</v>
      </c>
    </row>
    <row r="176" spans="1:14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  <c r="N176" s="11">
        <f>MONTH(Tabela1[[#This Row],[Start Date]])</f>
        <v>8</v>
      </c>
    </row>
    <row r="177" spans="1:14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  <c r="N177" s="11">
        <f>MONTH(Tabela1[[#This Row],[Start Date]])</f>
        <v>8</v>
      </c>
    </row>
    <row r="178" spans="1:14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9">
        <f>MONTH(Tabela1[[#This Row],[Start Date]])</f>
        <v>8</v>
      </c>
    </row>
    <row r="179" spans="1:14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  <c r="N179" s="11">
        <f>MONTH(Tabela1[[#This Row],[Start Date]])</f>
        <v>8</v>
      </c>
    </row>
    <row r="180" spans="1:14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  <c r="N180" s="11">
        <f>MONTH(Tabela1[[#This Row],[Start Date]])</f>
        <v>8</v>
      </c>
    </row>
    <row r="181" spans="1:14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9">
        <f>MONTH(Tabela1[[#This Row],[Start Date]])</f>
        <v>8</v>
      </c>
    </row>
    <row r="182" spans="1:14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  <c r="N182" s="11">
        <f>MONTH(Tabela1[[#This Row],[Start Date]])</f>
        <v>8</v>
      </c>
    </row>
    <row r="183" spans="1:14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  <c r="N183" s="11">
        <f>MONTH(Tabela1[[#This Row],[Start Date]])</f>
        <v>8</v>
      </c>
    </row>
    <row r="184" spans="1:14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9">
        <f>MONTH(Tabela1[[#This Row],[Start Date]])</f>
        <v>8</v>
      </c>
    </row>
    <row r="185" spans="1:14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  <c r="N185" s="11">
        <f>MONTH(Tabela1[[#This Row],[Start Date]])</f>
        <v>8</v>
      </c>
    </row>
    <row r="186" spans="1:14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  <c r="N186" s="11">
        <f>MONTH(Tabela1[[#This Row],[Start Date]])</f>
        <v>8</v>
      </c>
    </row>
    <row r="187" spans="1:14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9">
        <f>MONTH(Tabela1[[#This Row],[Start Date]])</f>
        <v>8</v>
      </c>
    </row>
    <row r="188" spans="1:14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  <c r="N188" s="11">
        <f>MONTH(Tabela1[[#This Row],[Start Date]])</f>
        <v>8</v>
      </c>
    </row>
    <row r="189" spans="1:14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  <c r="N189" s="11">
        <f>MONTH(Tabela1[[#This Row],[Start Date]])</f>
        <v>8</v>
      </c>
    </row>
    <row r="190" spans="1:14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9">
        <f>MONTH(Tabela1[[#This Row],[Start Date]])</f>
        <v>9</v>
      </c>
    </row>
    <row r="191" spans="1:14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  <c r="N191" s="11">
        <f>MONTH(Tabela1[[#This Row],[Start Date]])</f>
        <v>9</v>
      </c>
    </row>
    <row r="192" spans="1:14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  <c r="N192" s="11">
        <f>MONTH(Tabela1[[#This Row],[Start Date]])</f>
        <v>9</v>
      </c>
    </row>
    <row r="193" spans="1:14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9">
        <f>MONTH(Tabela1[[#This Row],[Start Date]])</f>
        <v>9</v>
      </c>
    </row>
    <row r="194" spans="1:14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  <c r="N194" s="11">
        <f>MONTH(Tabela1[[#This Row],[Start Date]])</f>
        <v>9</v>
      </c>
    </row>
    <row r="195" spans="1:14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  <c r="N195" s="11">
        <f>MONTH(Tabela1[[#This Row],[Start Date]])</f>
        <v>9</v>
      </c>
    </row>
    <row r="196" spans="1:14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9">
        <f>MONTH(Tabela1[[#This Row],[Start Date]])</f>
        <v>9</v>
      </c>
    </row>
    <row r="197" spans="1:14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  <c r="N197" s="11">
        <f>MONTH(Tabela1[[#This Row],[Start Date]])</f>
        <v>9</v>
      </c>
    </row>
    <row r="198" spans="1:14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  <c r="N198" s="11">
        <f>MONTH(Tabela1[[#This Row],[Start Date]])</f>
        <v>9</v>
      </c>
    </row>
    <row r="199" spans="1:14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9">
        <f>MONTH(Tabela1[[#This Row],[Start Date]])</f>
        <v>9</v>
      </c>
    </row>
    <row r="200" spans="1:14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  <c r="N200" s="11">
        <f>MONTH(Tabela1[[#This Row],[Start Date]])</f>
        <v>9</v>
      </c>
    </row>
    <row r="201" spans="1:14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  <c r="N201" s="11">
        <f>MONTH(Tabela1[[#This Row],[Start Date]])</f>
        <v>9</v>
      </c>
    </row>
    <row r="202" spans="1:14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9">
        <f>MONTH(Tabela1[[#This Row],[Start Date]])</f>
        <v>9</v>
      </c>
    </row>
    <row r="203" spans="1:14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  <c r="N203" s="11">
        <f>MONTH(Tabela1[[#This Row],[Start Date]])</f>
        <v>9</v>
      </c>
    </row>
    <row r="204" spans="1:14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  <c r="N204" s="11">
        <f>MONTH(Tabela1[[#This Row],[Start Date]])</f>
        <v>9</v>
      </c>
    </row>
    <row r="205" spans="1:14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9">
        <f>MONTH(Tabela1[[#This Row],[Start Date]])</f>
        <v>9</v>
      </c>
    </row>
    <row r="206" spans="1:14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  <c r="N206" s="11">
        <f>MONTH(Tabela1[[#This Row],[Start Date]])</f>
        <v>9</v>
      </c>
    </row>
    <row r="207" spans="1:14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  <c r="N207" s="11">
        <f>MONTH(Tabela1[[#This Row],[Start Date]])</f>
        <v>9</v>
      </c>
    </row>
    <row r="208" spans="1:14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9">
        <f>MONTH(Tabela1[[#This Row],[Start Date]])</f>
        <v>9</v>
      </c>
    </row>
    <row r="209" spans="1:14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  <c r="N209" s="11">
        <f>MONTH(Tabela1[[#This Row],[Start Date]])</f>
        <v>9</v>
      </c>
    </row>
    <row r="210" spans="1:14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  <c r="N210" s="11">
        <f>MONTH(Tabela1[[#This Row],[Start Date]])</f>
        <v>9</v>
      </c>
    </row>
    <row r="211" spans="1:14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9">
        <f>MONTH(Tabela1[[#This Row],[Start Date]])</f>
        <v>9</v>
      </c>
    </row>
    <row r="212" spans="1:14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  <c r="N212" s="11">
        <f>MONTH(Tabela1[[#This Row],[Start Date]])</f>
        <v>9</v>
      </c>
    </row>
    <row r="213" spans="1:14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  <c r="N213" s="11">
        <f>MONTH(Tabela1[[#This Row],[Start Date]])</f>
        <v>9</v>
      </c>
    </row>
    <row r="214" spans="1:14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9">
        <f>MONTH(Tabela1[[#This Row],[Start Date]])</f>
        <v>9</v>
      </c>
    </row>
    <row r="215" spans="1:14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  <c r="N215" s="11">
        <f>MONTH(Tabela1[[#This Row],[Start Date]])</f>
        <v>9</v>
      </c>
    </row>
    <row r="216" spans="1:14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  <c r="N216" s="11">
        <f>MONTH(Tabela1[[#This Row],[Start Date]])</f>
        <v>9</v>
      </c>
    </row>
    <row r="217" spans="1:14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9">
        <f>MONTH(Tabela1[[#This Row],[Start Date]])</f>
        <v>9</v>
      </c>
    </row>
    <row r="218" spans="1:14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  <c r="N218" s="11">
        <f>MONTH(Tabela1[[#This Row],[Start Date]])</f>
        <v>9</v>
      </c>
    </row>
    <row r="219" spans="1:14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  <c r="N219" s="11">
        <f>MONTH(Tabela1[[#This Row],[Start Date]])</f>
        <v>9</v>
      </c>
    </row>
    <row r="220" spans="1:14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9">
        <f>MONTH(Tabela1[[#This Row],[Start Date]])</f>
        <v>10</v>
      </c>
    </row>
    <row r="221" spans="1:14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  <c r="N221" s="11">
        <f>MONTH(Tabela1[[#This Row],[Start Date]])</f>
        <v>10</v>
      </c>
    </row>
    <row r="222" spans="1:14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  <c r="N222" s="11">
        <f>MONTH(Tabela1[[#This Row],[Start Date]])</f>
        <v>10</v>
      </c>
    </row>
    <row r="223" spans="1:14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9">
        <f>MONTH(Tabela1[[#This Row],[Start Date]])</f>
        <v>10</v>
      </c>
    </row>
    <row r="224" spans="1:14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  <c r="N224" s="11">
        <f>MONTH(Tabela1[[#This Row],[Start Date]])</f>
        <v>10</v>
      </c>
    </row>
    <row r="225" spans="1:14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  <c r="N225" s="11">
        <f>MONTH(Tabela1[[#This Row],[Start Date]])</f>
        <v>10</v>
      </c>
    </row>
    <row r="226" spans="1:14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9">
        <f>MONTH(Tabela1[[#This Row],[Start Date]])</f>
        <v>10</v>
      </c>
    </row>
    <row r="227" spans="1:14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  <c r="N227" s="11">
        <f>MONTH(Tabela1[[#This Row],[Start Date]])</f>
        <v>10</v>
      </c>
    </row>
    <row r="228" spans="1:14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  <c r="N228" s="11">
        <f>MONTH(Tabela1[[#This Row],[Start Date]])</f>
        <v>10</v>
      </c>
    </row>
    <row r="229" spans="1:14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9">
        <f>MONTH(Tabela1[[#This Row],[Start Date]])</f>
        <v>10</v>
      </c>
    </row>
    <row r="230" spans="1:14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  <c r="N230" s="11">
        <f>MONTH(Tabela1[[#This Row],[Start Date]])</f>
        <v>10</v>
      </c>
    </row>
    <row r="231" spans="1:14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  <c r="N231" s="11">
        <f>MONTH(Tabela1[[#This Row],[Start Date]])</f>
        <v>10</v>
      </c>
    </row>
    <row r="232" spans="1:14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9">
        <f>MONTH(Tabela1[[#This Row],[Start Date]])</f>
        <v>10</v>
      </c>
    </row>
    <row r="233" spans="1:14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  <c r="N233" s="11">
        <f>MONTH(Tabela1[[#This Row],[Start Date]])</f>
        <v>10</v>
      </c>
    </row>
    <row r="234" spans="1:14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  <c r="N234" s="11">
        <f>MONTH(Tabela1[[#This Row],[Start Date]])</f>
        <v>10</v>
      </c>
    </row>
    <row r="235" spans="1:14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9">
        <f>MONTH(Tabela1[[#This Row],[Start Date]])</f>
        <v>10</v>
      </c>
    </row>
    <row r="236" spans="1:14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  <c r="N236" s="11">
        <f>MONTH(Tabela1[[#This Row],[Start Date]])</f>
        <v>10</v>
      </c>
    </row>
    <row r="237" spans="1:14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  <c r="N237" s="11">
        <f>MONTH(Tabela1[[#This Row],[Start Date]])</f>
        <v>10</v>
      </c>
    </row>
    <row r="238" spans="1:14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9">
        <f>MONTH(Tabela1[[#This Row],[Start Date]])</f>
        <v>10</v>
      </c>
    </row>
    <row r="239" spans="1:14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  <c r="N239" s="11">
        <f>MONTH(Tabela1[[#This Row],[Start Date]])</f>
        <v>10</v>
      </c>
    </row>
    <row r="240" spans="1:14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  <c r="N240" s="11">
        <f>MONTH(Tabela1[[#This Row],[Start Date]])</f>
        <v>10</v>
      </c>
    </row>
    <row r="241" spans="1:14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9">
        <f>MONTH(Tabela1[[#This Row],[Start Date]])</f>
        <v>10</v>
      </c>
    </row>
    <row r="242" spans="1:14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  <c r="N242" s="11">
        <f>MONTH(Tabela1[[#This Row],[Start Date]])</f>
        <v>10</v>
      </c>
    </row>
    <row r="243" spans="1:14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  <c r="N243" s="11">
        <f>MONTH(Tabela1[[#This Row],[Start Date]])</f>
        <v>10</v>
      </c>
    </row>
    <row r="244" spans="1:14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9">
        <f>MONTH(Tabela1[[#This Row],[Start Date]])</f>
        <v>10</v>
      </c>
    </row>
    <row r="245" spans="1:14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  <c r="N245" s="11">
        <f>MONTH(Tabela1[[#This Row],[Start Date]])</f>
        <v>10</v>
      </c>
    </row>
    <row r="246" spans="1:14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  <c r="N246" s="11">
        <f>MONTH(Tabela1[[#This Row],[Start Date]])</f>
        <v>10</v>
      </c>
    </row>
    <row r="247" spans="1:14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9">
        <f>MONTH(Tabela1[[#This Row],[Start Date]])</f>
        <v>10</v>
      </c>
    </row>
    <row r="248" spans="1:14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  <c r="N248" s="11">
        <f>MONTH(Tabela1[[#This Row],[Start Date]])</f>
        <v>10</v>
      </c>
    </row>
    <row r="249" spans="1:14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  <c r="N249" s="11">
        <f>MONTH(Tabela1[[#This Row],[Start Date]])</f>
        <v>10</v>
      </c>
    </row>
    <row r="250" spans="1:14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9">
        <f>MONTH(Tabela1[[#This Row],[Start Date]])</f>
        <v>10</v>
      </c>
    </row>
    <row r="251" spans="1:14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  <c r="N251" s="11">
        <f>MONTH(Tabela1[[#This Row],[Start Date]])</f>
        <v>11</v>
      </c>
    </row>
    <row r="252" spans="1:14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  <c r="N252" s="11">
        <f>MONTH(Tabela1[[#This Row],[Start Date]])</f>
        <v>11</v>
      </c>
    </row>
    <row r="253" spans="1:14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9">
        <f>MONTH(Tabela1[[#This Row],[Start Date]])</f>
        <v>11</v>
      </c>
    </row>
    <row r="254" spans="1:14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  <c r="N254" s="11">
        <f>MONTH(Tabela1[[#This Row],[Start Date]])</f>
        <v>11</v>
      </c>
    </row>
    <row r="255" spans="1:14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  <c r="N255" s="11">
        <f>MONTH(Tabela1[[#This Row],[Start Date]])</f>
        <v>11</v>
      </c>
    </row>
    <row r="256" spans="1:14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9">
        <f>MONTH(Tabela1[[#This Row],[Start Date]])</f>
        <v>11</v>
      </c>
    </row>
    <row r="257" spans="1:14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  <c r="N257" s="11">
        <f>MONTH(Tabela1[[#This Row],[Start Date]])</f>
        <v>11</v>
      </c>
    </row>
    <row r="258" spans="1:14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9">
        <f>MONTH(Tabela1[[#This Row],[Start Date]])</f>
        <v>11</v>
      </c>
    </row>
    <row r="259" spans="1:14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  <c r="N259" s="11">
        <f>MONTH(Tabela1[[#This Row],[Start Date]])</f>
        <v>11</v>
      </c>
    </row>
    <row r="260" spans="1:14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  <c r="N260" s="11">
        <f>MONTH(Tabela1[[#This Row],[Start Date]])</f>
        <v>11</v>
      </c>
    </row>
    <row r="261" spans="1:14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9">
        <f>MONTH(Tabela1[[#This Row],[Start Date]])</f>
        <v>11</v>
      </c>
    </row>
    <row r="262" spans="1:14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  <c r="N262" s="11">
        <f>MONTH(Tabela1[[#This Row],[Start Date]])</f>
        <v>11</v>
      </c>
    </row>
    <row r="263" spans="1:14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  <c r="N263" s="11">
        <f>MONTH(Tabela1[[#This Row],[Start Date]])</f>
        <v>11</v>
      </c>
    </row>
    <row r="264" spans="1:14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9">
        <f>MONTH(Tabela1[[#This Row],[Start Date]])</f>
        <v>11</v>
      </c>
    </row>
    <row r="265" spans="1:14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  <c r="N265" s="11">
        <f>MONTH(Tabela1[[#This Row],[Start Date]])</f>
        <v>11</v>
      </c>
    </row>
    <row r="266" spans="1:14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  <c r="N266" s="11">
        <f>MONTH(Tabela1[[#This Row],[Start Date]])</f>
        <v>11</v>
      </c>
    </row>
    <row r="267" spans="1:14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9">
        <f>MONTH(Tabela1[[#This Row],[Start Date]])</f>
        <v>11</v>
      </c>
    </row>
    <row r="268" spans="1:14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  <c r="N268" s="11">
        <f>MONTH(Tabela1[[#This Row],[Start Date]])</f>
        <v>11</v>
      </c>
    </row>
    <row r="269" spans="1:14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  <c r="N269" s="11">
        <f>MONTH(Tabela1[[#This Row],[Start Date]])</f>
        <v>11</v>
      </c>
    </row>
    <row r="270" spans="1:14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9">
        <f>MONTH(Tabela1[[#This Row],[Start Date]])</f>
        <v>11</v>
      </c>
    </row>
    <row r="271" spans="1:14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  <c r="N271" s="11">
        <f>MONTH(Tabela1[[#This Row],[Start Date]])</f>
        <v>11</v>
      </c>
    </row>
    <row r="272" spans="1:14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  <c r="N272" s="11">
        <f>MONTH(Tabela1[[#This Row],[Start Date]])</f>
        <v>11</v>
      </c>
    </row>
    <row r="273" spans="1:14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9">
        <f>MONTH(Tabela1[[#This Row],[Start Date]])</f>
        <v>11</v>
      </c>
    </row>
    <row r="274" spans="1:14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  <c r="N274" s="11">
        <f>MONTH(Tabela1[[#This Row],[Start Date]])</f>
        <v>11</v>
      </c>
    </row>
    <row r="275" spans="1:14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  <c r="N275" s="11">
        <f>MONTH(Tabela1[[#This Row],[Start Date]])</f>
        <v>11</v>
      </c>
    </row>
    <row r="276" spans="1:14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9">
        <f>MONTH(Tabela1[[#This Row],[Start Date]])</f>
        <v>11</v>
      </c>
    </row>
    <row r="277" spans="1:14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  <c r="N277" s="11">
        <f>MONTH(Tabela1[[#This Row],[Start Date]])</f>
        <v>11</v>
      </c>
    </row>
    <row r="278" spans="1:14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  <c r="N278" s="11">
        <f>MONTH(Tabela1[[#This Row],[Start Date]])</f>
        <v>11</v>
      </c>
    </row>
    <row r="279" spans="1:14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9">
        <f>MONTH(Tabela1[[#This Row],[Start Date]])</f>
        <v>11</v>
      </c>
    </row>
    <row r="280" spans="1:14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  <c r="N280" s="11">
        <f>MONTH(Tabela1[[#This Row],[Start Date]])</f>
        <v>11</v>
      </c>
    </row>
    <row r="281" spans="1:14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  <c r="N281" s="11">
        <f>MONTH(Tabela1[[#This Row],[Start Date]])</f>
        <v>12</v>
      </c>
    </row>
    <row r="282" spans="1:14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9">
        <f>MONTH(Tabela1[[#This Row],[Start Date]])</f>
        <v>12</v>
      </c>
    </row>
    <row r="283" spans="1:14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  <c r="N283" s="11">
        <f>MONTH(Tabela1[[#This Row],[Start Date]])</f>
        <v>12</v>
      </c>
    </row>
    <row r="284" spans="1:14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  <c r="N284" s="11">
        <f>MONTH(Tabela1[[#This Row],[Start Date]])</f>
        <v>12</v>
      </c>
    </row>
    <row r="285" spans="1:14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9">
        <f>MONTH(Tabela1[[#This Row],[Start Date]])</f>
        <v>12</v>
      </c>
    </row>
    <row r="286" spans="1:14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  <c r="N286" s="11">
        <f>MONTH(Tabela1[[#This Row],[Start Date]])</f>
        <v>12</v>
      </c>
    </row>
    <row r="287" spans="1:14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  <c r="N287" s="11">
        <f>MONTH(Tabela1[[#This Row],[Start Date]])</f>
        <v>12</v>
      </c>
    </row>
    <row r="288" spans="1:14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9">
        <f>MONTH(Tabela1[[#This Row],[Start Date]])</f>
        <v>12</v>
      </c>
    </row>
    <row r="289" spans="1:14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  <c r="N289" s="11">
        <f>MONTH(Tabela1[[#This Row],[Start Date]])</f>
        <v>12</v>
      </c>
    </row>
    <row r="290" spans="1:14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  <c r="N290" s="11">
        <f>MONTH(Tabela1[[#This Row],[Start Date]])</f>
        <v>12</v>
      </c>
    </row>
    <row r="291" spans="1:14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9">
        <f>MONTH(Tabela1[[#This Row],[Start Date]])</f>
        <v>12</v>
      </c>
    </row>
    <row r="292" spans="1:14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  <c r="N292" s="11">
        <f>MONTH(Tabela1[[#This Row],[Start Date]])</f>
        <v>12</v>
      </c>
    </row>
    <row r="293" spans="1:14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  <c r="N293" s="11">
        <f>MONTH(Tabela1[[#This Row],[Start Date]])</f>
        <v>12</v>
      </c>
    </row>
    <row r="294" spans="1:14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9">
        <f>MONTH(Tabela1[[#This Row],[Start Date]])</f>
        <v>12</v>
      </c>
    </row>
    <row r="295" spans="1:14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  <c r="N295" s="11">
        <f>MONTH(Tabela1[[#This Row],[Start Date]])</f>
        <v>12</v>
      </c>
    </row>
    <row r="296" spans="1:14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  <c r="N296" s="11">
        <f>MONTH(Tabela1[[#This Row],[Start Date]])</f>
        <v>12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73"/>
  <sheetViews>
    <sheetView showGridLines="0" topLeftCell="A39" workbookViewId="0">
      <selection activeCell="N20" sqref="N20"/>
    </sheetView>
  </sheetViews>
  <sheetFormatPr defaultRowHeight="15" x14ac:dyDescent="0.25"/>
  <cols>
    <col min="2" max="2" width="18.42578125" bestFit="1" customWidth="1"/>
    <col min="3" max="3" width="26.28515625" bestFit="1" customWidth="1"/>
    <col min="4" max="4" width="18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5" t="s">
        <v>313</v>
      </c>
      <c r="C3" s="15"/>
      <c r="D3" s="15"/>
      <c r="E3" s="15"/>
      <c r="F3" s="15"/>
    </row>
    <row r="5" spans="2:6" x14ac:dyDescent="0.25">
      <c r="B5" t="s">
        <v>314</v>
      </c>
    </row>
    <row r="6" spans="2:6" x14ac:dyDescent="0.25">
      <c r="B6" t="s">
        <v>319</v>
      </c>
    </row>
    <row r="8" spans="2:6" x14ac:dyDescent="0.25">
      <c r="B8" s="12" t="s">
        <v>16</v>
      </c>
      <c r="C8" t="s">
        <v>318</v>
      </c>
    </row>
    <row r="10" spans="2:6" x14ac:dyDescent="0.25">
      <c r="B10" s="12" t="s">
        <v>315</v>
      </c>
      <c r="C10" t="s">
        <v>317</v>
      </c>
    </row>
    <row r="11" spans="2:6" x14ac:dyDescent="0.25">
      <c r="B11" s="13" t="s">
        <v>23</v>
      </c>
      <c r="C11" s="14">
        <v>3847</v>
      </c>
    </row>
    <row r="12" spans="2:6" x14ac:dyDescent="0.25">
      <c r="B12" s="13" t="s">
        <v>19</v>
      </c>
      <c r="C12" s="14">
        <v>3786</v>
      </c>
    </row>
    <row r="13" spans="2:6" x14ac:dyDescent="0.25">
      <c r="B13" s="13" t="s">
        <v>316</v>
      </c>
      <c r="C13" s="14">
        <v>7633</v>
      </c>
    </row>
    <row r="15" spans="2:6" x14ac:dyDescent="0.25">
      <c r="B15" s="13" t="s">
        <v>321</v>
      </c>
    </row>
    <row r="17" spans="2:6" x14ac:dyDescent="0.25">
      <c r="B17" s="12" t="s">
        <v>16</v>
      </c>
      <c r="C17" t="s">
        <v>318</v>
      </c>
    </row>
    <row r="19" spans="2:6" x14ac:dyDescent="0.25">
      <c r="B19" s="12" t="s">
        <v>315</v>
      </c>
      <c r="C19" t="s">
        <v>322</v>
      </c>
    </row>
    <row r="20" spans="2:6" x14ac:dyDescent="0.25">
      <c r="B20" s="13" t="s">
        <v>22</v>
      </c>
      <c r="C20" s="16">
        <v>0</v>
      </c>
    </row>
    <row r="21" spans="2:6" x14ac:dyDescent="0.25">
      <c r="B21" s="13" t="s">
        <v>26</v>
      </c>
      <c r="C21" s="16">
        <v>0</v>
      </c>
    </row>
    <row r="22" spans="2:6" x14ac:dyDescent="0.25">
      <c r="B22" s="13" t="s">
        <v>18</v>
      </c>
      <c r="C22" s="16">
        <v>2940</v>
      </c>
    </row>
    <row r="23" spans="2:6" x14ac:dyDescent="0.25">
      <c r="B23" s="13" t="s">
        <v>316</v>
      </c>
      <c r="C23" s="16">
        <v>2940</v>
      </c>
      <c r="F23" s="17">
        <f>IFERROR(GETPIVOTDATA("EA Play Season Pass
Price",$B$19,"Plan","Ultimate"),"- -")</f>
        <v>2940</v>
      </c>
    </row>
    <row r="25" spans="2:6" x14ac:dyDescent="0.25">
      <c r="B25" s="13" t="s">
        <v>323</v>
      </c>
    </row>
    <row r="27" spans="2:6" x14ac:dyDescent="0.25">
      <c r="B27" s="12" t="s">
        <v>16</v>
      </c>
      <c r="C27" t="s">
        <v>318</v>
      </c>
    </row>
    <row r="29" spans="2:6" x14ac:dyDescent="0.25">
      <c r="B29" s="12" t="s">
        <v>315</v>
      </c>
      <c r="C29" t="s">
        <v>324</v>
      </c>
    </row>
    <row r="30" spans="2:6" x14ac:dyDescent="0.25">
      <c r="B30" s="13" t="s">
        <v>22</v>
      </c>
      <c r="C30" s="14">
        <v>0</v>
      </c>
    </row>
    <row r="31" spans="2:6" x14ac:dyDescent="0.25">
      <c r="B31" s="13" t="s">
        <v>26</v>
      </c>
      <c r="C31" s="14">
        <v>1920</v>
      </c>
    </row>
    <row r="32" spans="2:6" x14ac:dyDescent="0.25">
      <c r="B32" s="13" t="s">
        <v>18</v>
      </c>
      <c r="C32" s="14">
        <v>1960</v>
      </c>
    </row>
    <row r="33" spans="2:6" x14ac:dyDescent="0.25">
      <c r="B33" s="13" t="s">
        <v>316</v>
      </c>
      <c r="C33" s="14">
        <v>3880</v>
      </c>
      <c r="F33" s="17">
        <f>IFERROR(GETPIVOTDATA("Minecraft Season Pass Price",$B$29),"- -")</f>
        <v>3880</v>
      </c>
    </row>
    <row r="35" spans="2:6" x14ac:dyDescent="0.25">
      <c r="B35" s="13" t="s">
        <v>326</v>
      </c>
    </row>
    <row r="37" spans="2:6" x14ac:dyDescent="0.25">
      <c r="B37" s="12" t="s">
        <v>315</v>
      </c>
      <c r="C37" t="s">
        <v>325</v>
      </c>
      <c r="F37" s="14"/>
    </row>
    <row r="38" spans="2:6" x14ac:dyDescent="0.25">
      <c r="B38" s="13" t="s">
        <v>24</v>
      </c>
      <c r="C38" s="14">
        <v>24.704225352112676</v>
      </c>
      <c r="F38" s="14">
        <f>IFERROR(GETPIVOTDATA("Total Value", $C$38, "Subscription Type", "Annual"), "- -")</f>
        <v>24.704225352112676</v>
      </c>
    </row>
    <row r="39" spans="2:6" x14ac:dyDescent="0.25">
      <c r="B39" s="13" t="s">
        <v>20</v>
      </c>
      <c r="C39" s="14">
        <v>25.690647482014388</v>
      </c>
      <c r="E39" s="17"/>
      <c r="F39" s="14">
        <f>IFERROR(GETPIVOTDATA("Total Value", $C$39, "Subscription Type", "Monthly"), "- -")</f>
        <v>25.690647482014388</v>
      </c>
    </row>
    <row r="40" spans="2:6" x14ac:dyDescent="0.25">
      <c r="B40" s="13" t="s">
        <v>27</v>
      </c>
      <c r="C40" s="14">
        <v>27.152941176470588</v>
      </c>
      <c r="F40" s="14">
        <f>IFERROR(GETPIVOTDATA("Total Value", $C$40, "Subscription Type", "Quarterly"), "- -")</f>
        <v>27.152941176470588</v>
      </c>
    </row>
    <row r="41" spans="2:6" x14ac:dyDescent="0.25">
      <c r="B41" s="13" t="s">
        <v>316</v>
      </c>
      <c r="C41" s="14">
        <v>25.874576271186442</v>
      </c>
    </row>
    <row r="43" spans="2:6" x14ac:dyDescent="0.25">
      <c r="B43" t="s">
        <v>331</v>
      </c>
    </row>
    <row r="45" spans="2:6" x14ac:dyDescent="0.25">
      <c r="B45" s="12" t="s">
        <v>315</v>
      </c>
      <c r="C45" t="s">
        <v>317</v>
      </c>
    </row>
    <row r="46" spans="2:6" x14ac:dyDescent="0.25">
      <c r="B46" s="13">
        <v>1</v>
      </c>
      <c r="C46" s="14">
        <v>65</v>
      </c>
    </row>
    <row r="47" spans="2:6" x14ac:dyDescent="0.25">
      <c r="B47" s="13">
        <v>2</v>
      </c>
      <c r="C47" s="14">
        <v>82</v>
      </c>
    </row>
    <row r="48" spans="2:6" x14ac:dyDescent="0.25">
      <c r="B48" s="13">
        <v>3</v>
      </c>
      <c r="C48" s="14">
        <v>801</v>
      </c>
    </row>
    <row r="49" spans="2:4" x14ac:dyDescent="0.25">
      <c r="B49" s="13">
        <v>4</v>
      </c>
      <c r="C49" s="14">
        <v>782</v>
      </c>
    </row>
    <row r="50" spans="2:4" x14ac:dyDescent="0.25">
      <c r="B50" s="13">
        <v>5</v>
      </c>
      <c r="C50" s="14">
        <v>777</v>
      </c>
    </row>
    <row r="51" spans="2:4" x14ac:dyDescent="0.25">
      <c r="B51" s="13">
        <v>6</v>
      </c>
      <c r="C51" s="14">
        <v>770</v>
      </c>
    </row>
    <row r="52" spans="2:4" x14ac:dyDescent="0.25">
      <c r="B52" s="13">
        <v>7</v>
      </c>
      <c r="C52" s="14">
        <v>784</v>
      </c>
    </row>
    <row r="53" spans="2:4" x14ac:dyDescent="0.25">
      <c r="B53" s="13">
        <v>8</v>
      </c>
      <c r="C53" s="14">
        <v>787</v>
      </c>
    </row>
    <row r="54" spans="2:4" x14ac:dyDescent="0.25">
      <c r="B54" s="13">
        <v>9</v>
      </c>
      <c r="C54" s="14">
        <v>780</v>
      </c>
    </row>
    <row r="55" spans="2:4" x14ac:dyDescent="0.25">
      <c r="B55" s="13">
        <v>10</v>
      </c>
      <c r="C55" s="14">
        <v>832</v>
      </c>
    </row>
    <row r="56" spans="2:4" x14ac:dyDescent="0.25">
      <c r="B56" s="13">
        <v>11</v>
      </c>
      <c r="C56" s="14">
        <v>784</v>
      </c>
    </row>
    <row r="57" spans="2:4" x14ac:dyDescent="0.25">
      <c r="B57" s="13">
        <v>12</v>
      </c>
      <c r="C57" s="14">
        <v>389</v>
      </c>
    </row>
    <row r="58" spans="2:4" x14ac:dyDescent="0.25">
      <c r="B58" s="13" t="s">
        <v>316</v>
      </c>
      <c r="C58" s="14">
        <v>7633</v>
      </c>
    </row>
    <row r="60" spans="2:4" x14ac:dyDescent="0.25">
      <c r="B60" t="s">
        <v>330</v>
      </c>
    </row>
    <row r="62" spans="2:4" x14ac:dyDescent="0.25">
      <c r="B62" s="12" t="s">
        <v>315</v>
      </c>
      <c r="C62" t="s">
        <v>328</v>
      </c>
      <c r="D62" t="s">
        <v>329</v>
      </c>
    </row>
    <row r="63" spans="2:4" x14ac:dyDescent="0.25">
      <c r="B63" s="13" t="s">
        <v>22</v>
      </c>
      <c r="C63" s="16">
        <v>101</v>
      </c>
      <c r="D63" s="21">
        <v>0.34237288135593219</v>
      </c>
    </row>
    <row r="64" spans="2:4" x14ac:dyDescent="0.25">
      <c r="B64" s="13" t="s">
        <v>26</v>
      </c>
      <c r="C64" s="16">
        <v>96</v>
      </c>
      <c r="D64" s="21">
        <v>0.3254237288135593</v>
      </c>
    </row>
    <row r="65" spans="2:6" x14ac:dyDescent="0.25">
      <c r="B65" s="13" t="s">
        <v>18</v>
      </c>
      <c r="C65" s="16">
        <v>98</v>
      </c>
      <c r="D65" s="21">
        <v>0.33220338983050846</v>
      </c>
    </row>
    <row r="66" spans="2:6" x14ac:dyDescent="0.25">
      <c r="B66" s="13" t="s">
        <v>316</v>
      </c>
      <c r="C66" s="16">
        <v>295</v>
      </c>
      <c r="D66" s="21">
        <v>1</v>
      </c>
    </row>
    <row r="68" spans="2:6" x14ac:dyDescent="0.25">
      <c r="B68" t="s">
        <v>332</v>
      </c>
    </row>
    <row r="70" spans="2:6" x14ac:dyDescent="0.25">
      <c r="B70" s="12" t="s">
        <v>315</v>
      </c>
      <c r="C70" t="s">
        <v>333</v>
      </c>
    </row>
    <row r="71" spans="2:6" x14ac:dyDescent="0.25">
      <c r="B71" s="13" t="s">
        <v>23</v>
      </c>
      <c r="C71" s="21">
        <v>0.49830508474576274</v>
      </c>
      <c r="F71" s="22">
        <f>IFERROR(GETPIVOTDATA("Auto Renewal",$B$70,"Auto Renewal","No"),"- -")</f>
        <v>0.49830508474576274</v>
      </c>
    </row>
    <row r="72" spans="2:6" x14ac:dyDescent="0.25">
      <c r="B72" s="13" t="s">
        <v>19</v>
      </c>
      <c r="C72" s="21">
        <v>0.50169491525423726</v>
      </c>
      <c r="F72" s="22">
        <f>IFERROR(GETPIVOTDATA("Auto Renewal",$B$70,"Auto Renewal","Yes"),"- -")</f>
        <v>0.50169491525423726</v>
      </c>
    </row>
    <row r="73" spans="2:6" x14ac:dyDescent="0.25">
      <c r="B73" s="13" t="s">
        <v>316</v>
      </c>
      <c r="C73" s="2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Y136"/>
  <sheetViews>
    <sheetView showGridLines="0" showRowColHeaders="0" tabSelected="1" zoomScale="110" zoomScaleNormal="110" workbookViewId="0">
      <selection activeCell="P2" sqref="P2"/>
    </sheetView>
  </sheetViews>
  <sheetFormatPr defaultRowHeight="15" x14ac:dyDescent="0.25"/>
  <cols>
    <col min="1" max="1" width="28" style="23" customWidth="1"/>
    <col min="2" max="2" width="3.5703125" style="25" customWidth="1"/>
    <col min="3" max="11" width="9.140625" style="25"/>
    <col min="12" max="12" width="6.5703125" style="25" customWidth="1"/>
    <col min="13" max="16384" width="9.140625" style="25"/>
  </cols>
  <sheetData>
    <row r="1" spans="1:25" ht="30" customHeight="1" x14ac:dyDescent="0.25">
      <c r="B1" s="24"/>
    </row>
    <row r="2" spans="1:25" ht="39" customHeight="1" thickBot="1" x14ac:dyDescent="0.75">
      <c r="B2" s="24"/>
      <c r="C2" s="26" t="s">
        <v>320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  <c r="S2" s="28"/>
      <c r="T2" s="28"/>
      <c r="U2" s="28"/>
      <c r="V2" s="28"/>
      <c r="W2" s="28"/>
      <c r="X2" s="28"/>
      <c r="Y2" s="28"/>
    </row>
    <row r="3" spans="1:25" ht="39" customHeight="1" thickTop="1" x14ac:dyDescent="0.25">
      <c r="B3" s="24"/>
    </row>
    <row r="4" spans="1:25" s="29" customFormat="1" ht="8.25" customHeight="1" x14ac:dyDescent="0.25">
      <c r="A4" s="23"/>
    </row>
    <row r="5" spans="1:25" s="29" customFormat="1" ht="7.5" customHeight="1" x14ac:dyDescent="0.25">
      <c r="A5" s="23"/>
    </row>
    <row r="6" spans="1:25" s="29" customFormat="1" ht="10.5" customHeight="1" x14ac:dyDescent="0.25">
      <c r="A6" s="23"/>
    </row>
    <row r="7" spans="1:25" s="29" customFormat="1" ht="9.75" customHeight="1" x14ac:dyDescent="0.25">
      <c r="A7" s="23"/>
    </row>
    <row r="8" spans="1:25" s="29" customFormat="1" ht="33" customHeight="1" x14ac:dyDescent="0.25">
      <c r="A8" s="23"/>
    </row>
    <row r="9" spans="1:25" s="29" customFormat="1" x14ac:dyDescent="0.25">
      <c r="A9" s="23"/>
    </row>
    <row r="10" spans="1:25" s="29" customFormat="1" x14ac:dyDescent="0.25">
      <c r="A10" s="23"/>
    </row>
    <row r="11" spans="1:25" s="29" customFormat="1" x14ac:dyDescent="0.25">
      <c r="A11" s="23"/>
    </row>
    <row r="12" spans="1:25" s="29" customFormat="1" x14ac:dyDescent="0.25">
      <c r="A12" s="23"/>
    </row>
    <row r="13" spans="1:25" s="29" customFormat="1" x14ac:dyDescent="0.25">
      <c r="A13" s="23"/>
    </row>
    <row r="14" spans="1:25" s="29" customFormat="1" x14ac:dyDescent="0.25">
      <c r="A14" s="23"/>
    </row>
    <row r="15" spans="1:25" s="29" customFormat="1" x14ac:dyDescent="0.25">
      <c r="A15" s="23"/>
    </row>
    <row r="16" spans="1:25" s="29" customFormat="1" x14ac:dyDescent="0.25">
      <c r="A16" s="23"/>
    </row>
    <row r="17" spans="1:1" s="29" customFormat="1" x14ac:dyDescent="0.25">
      <c r="A17" s="23"/>
    </row>
    <row r="18" spans="1:1" s="29" customFormat="1" x14ac:dyDescent="0.25">
      <c r="A18" s="23"/>
    </row>
    <row r="19" spans="1:1" s="29" customFormat="1" x14ac:dyDescent="0.25">
      <c r="A19" s="23"/>
    </row>
    <row r="20" spans="1:1" s="29" customFormat="1" x14ac:dyDescent="0.25">
      <c r="A20" s="23"/>
    </row>
    <row r="21" spans="1:1" s="29" customFormat="1" x14ac:dyDescent="0.25">
      <c r="A21" s="23"/>
    </row>
    <row r="22" spans="1:1" s="29" customFormat="1" x14ac:dyDescent="0.25">
      <c r="A22" s="23"/>
    </row>
    <row r="23" spans="1:1" s="29" customFormat="1" x14ac:dyDescent="0.25">
      <c r="A23" s="23"/>
    </row>
    <row r="24" spans="1:1" s="29" customFormat="1" x14ac:dyDescent="0.25">
      <c r="A24" s="23"/>
    </row>
    <row r="25" spans="1:1" s="29" customFormat="1" x14ac:dyDescent="0.25">
      <c r="A25" s="23"/>
    </row>
    <row r="26" spans="1:1" s="29" customFormat="1" x14ac:dyDescent="0.25">
      <c r="A26" s="23"/>
    </row>
    <row r="27" spans="1:1" s="29" customFormat="1" x14ac:dyDescent="0.25">
      <c r="A27" s="23"/>
    </row>
    <row r="28" spans="1:1" s="29" customFormat="1" x14ac:dyDescent="0.25">
      <c r="A28" s="23"/>
    </row>
    <row r="29" spans="1:1" s="29" customFormat="1" x14ac:dyDescent="0.25">
      <c r="A29" s="23"/>
    </row>
    <row r="30" spans="1:1" s="29" customFormat="1" x14ac:dyDescent="0.25">
      <c r="A30" s="23"/>
    </row>
    <row r="31" spans="1:1" s="29" customFormat="1" x14ac:dyDescent="0.25">
      <c r="A31" s="23"/>
    </row>
    <row r="32" spans="1:1" s="29" customFormat="1" x14ac:dyDescent="0.25">
      <c r="A32" s="23"/>
    </row>
    <row r="33" spans="1:1" s="29" customFormat="1" x14ac:dyDescent="0.25">
      <c r="A33" s="23"/>
    </row>
    <row r="34" spans="1:1" s="29" customFormat="1" x14ac:dyDescent="0.25">
      <c r="A34" s="23"/>
    </row>
    <row r="35" spans="1:1" s="29" customFormat="1" x14ac:dyDescent="0.25">
      <c r="A35" s="23"/>
    </row>
    <row r="36" spans="1:1" s="29" customFormat="1" x14ac:dyDescent="0.25">
      <c r="A36" s="23"/>
    </row>
    <row r="37" spans="1:1" s="29" customFormat="1" x14ac:dyDescent="0.25">
      <c r="A37" s="23"/>
    </row>
    <row r="38" spans="1:1" s="29" customFormat="1" x14ac:dyDescent="0.25">
      <c r="A38" s="23"/>
    </row>
    <row r="39" spans="1:1" s="29" customFormat="1" x14ac:dyDescent="0.25">
      <c r="A39" s="23"/>
    </row>
    <row r="40" spans="1:1" s="29" customFormat="1" x14ac:dyDescent="0.25">
      <c r="A40" s="23"/>
    </row>
    <row r="41" spans="1:1" s="29" customFormat="1" x14ac:dyDescent="0.25">
      <c r="A41" s="23"/>
    </row>
    <row r="42" spans="1:1" s="29" customFormat="1" x14ac:dyDescent="0.25">
      <c r="A42" s="23"/>
    </row>
    <row r="43" spans="1:1" s="29" customFormat="1" x14ac:dyDescent="0.25">
      <c r="A43" s="23"/>
    </row>
    <row r="44" spans="1:1" s="29" customFormat="1" x14ac:dyDescent="0.25">
      <c r="A44" s="23"/>
    </row>
    <row r="45" spans="1:1" s="29" customFormat="1" x14ac:dyDescent="0.25">
      <c r="A45" s="23"/>
    </row>
    <row r="46" spans="1:1" s="29" customFormat="1" x14ac:dyDescent="0.25">
      <c r="A46" s="23"/>
    </row>
    <row r="47" spans="1:1" s="29" customFormat="1" x14ac:dyDescent="0.25">
      <c r="A47" s="23"/>
    </row>
    <row r="48" spans="1:1" s="29" customFormat="1" x14ac:dyDescent="0.25">
      <c r="A48" s="23"/>
    </row>
    <row r="49" spans="1:1" s="29" customFormat="1" x14ac:dyDescent="0.25">
      <c r="A49" s="23"/>
    </row>
    <row r="50" spans="1:1" s="29" customFormat="1" x14ac:dyDescent="0.25">
      <c r="A50" s="23"/>
    </row>
    <row r="51" spans="1:1" s="29" customFormat="1" x14ac:dyDescent="0.25">
      <c r="A51" s="23"/>
    </row>
    <row r="52" spans="1:1" s="29" customFormat="1" x14ac:dyDescent="0.25">
      <c r="A52" s="23"/>
    </row>
    <row r="53" spans="1:1" s="29" customFormat="1" x14ac:dyDescent="0.25">
      <c r="A53" s="23"/>
    </row>
    <row r="54" spans="1:1" s="29" customFormat="1" x14ac:dyDescent="0.25">
      <c r="A54" s="23"/>
    </row>
    <row r="55" spans="1:1" s="29" customFormat="1" x14ac:dyDescent="0.25">
      <c r="A55" s="23"/>
    </row>
    <row r="56" spans="1:1" s="29" customFormat="1" x14ac:dyDescent="0.25">
      <c r="A56" s="23"/>
    </row>
    <row r="57" spans="1:1" s="29" customFormat="1" x14ac:dyDescent="0.25">
      <c r="A57" s="23"/>
    </row>
    <row r="58" spans="1:1" s="29" customFormat="1" x14ac:dyDescent="0.25">
      <c r="A58" s="23"/>
    </row>
    <row r="59" spans="1:1" s="29" customFormat="1" x14ac:dyDescent="0.25">
      <c r="A59" s="23"/>
    </row>
    <row r="60" spans="1:1" s="29" customFormat="1" x14ac:dyDescent="0.25">
      <c r="A60" s="23"/>
    </row>
    <row r="61" spans="1:1" s="29" customFormat="1" x14ac:dyDescent="0.25">
      <c r="A61" s="23"/>
    </row>
    <row r="62" spans="1:1" s="29" customFormat="1" x14ac:dyDescent="0.25">
      <c r="A62" s="23"/>
    </row>
    <row r="63" spans="1:1" s="29" customFormat="1" x14ac:dyDescent="0.25">
      <c r="A63" s="23"/>
    </row>
    <row r="64" spans="1:1" s="29" customFormat="1" x14ac:dyDescent="0.25">
      <c r="A64" s="23"/>
    </row>
    <row r="65" spans="1:1" s="29" customFormat="1" x14ac:dyDescent="0.25">
      <c r="A65" s="23"/>
    </row>
    <row r="66" spans="1:1" s="29" customFormat="1" x14ac:dyDescent="0.25">
      <c r="A66" s="23"/>
    </row>
    <row r="67" spans="1:1" s="29" customFormat="1" x14ac:dyDescent="0.25">
      <c r="A67" s="23"/>
    </row>
    <row r="68" spans="1:1" s="29" customFormat="1" x14ac:dyDescent="0.25">
      <c r="A68" s="23"/>
    </row>
    <row r="69" spans="1:1" s="29" customFormat="1" x14ac:dyDescent="0.25">
      <c r="A69" s="23"/>
    </row>
    <row r="70" spans="1:1" s="29" customFormat="1" x14ac:dyDescent="0.25">
      <c r="A70" s="23"/>
    </row>
    <row r="71" spans="1:1" s="29" customFormat="1" x14ac:dyDescent="0.25">
      <c r="A71" s="23"/>
    </row>
    <row r="72" spans="1:1" s="29" customFormat="1" x14ac:dyDescent="0.25">
      <c r="A72" s="23"/>
    </row>
    <row r="73" spans="1:1" s="29" customFormat="1" x14ac:dyDescent="0.25">
      <c r="A73" s="23"/>
    </row>
    <row r="74" spans="1:1" s="29" customFormat="1" x14ac:dyDescent="0.25">
      <c r="A74" s="23"/>
    </row>
    <row r="75" spans="1:1" s="29" customFormat="1" x14ac:dyDescent="0.25">
      <c r="A75" s="23"/>
    </row>
    <row r="76" spans="1:1" s="29" customFormat="1" x14ac:dyDescent="0.25">
      <c r="A76" s="23"/>
    </row>
    <row r="77" spans="1:1" s="29" customFormat="1" x14ac:dyDescent="0.25">
      <c r="A77" s="23"/>
    </row>
    <row r="78" spans="1:1" s="29" customFormat="1" x14ac:dyDescent="0.25">
      <c r="A78" s="23"/>
    </row>
    <row r="79" spans="1:1" s="29" customFormat="1" x14ac:dyDescent="0.25">
      <c r="A79" s="23"/>
    </row>
    <row r="80" spans="1:1" s="29" customFormat="1" x14ac:dyDescent="0.25">
      <c r="A80" s="23"/>
    </row>
    <row r="81" spans="1:1" s="29" customFormat="1" x14ac:dyDescent="0.25">
      <c r="A81" s="23"/>
    </row>
    <row r="82" spans="1:1" s="29" customFormat="1" x14ac:dyDescent="0.25">
      <c r="A82" s="23"/>
    </row>
    <row r="83" spans="1:1" s="29" customFormat="1" x14ac:dyDescent="0.25">
      <c r="A83" s="23"/>
    </row>
    <row r="84" spans="1:1" s="29" customFormat="1" x14ac:dyDescent="0.25">
      <c r="A84" s="23"/>
    </row>
    <row r="85" spans="1:1" s="29" customFormat="1" x14ac:dyDescent="0.25">
      <c r="A85" s="23"/>
    </row>
    <row r="86" spans="1:1" s="29" customFormat="1" x14ac:dyDescent="0.25">
      <c r="A86" s="23"/>
    </row>
    <row r="87" spans="1:1" s="29" customFormat="1" x14ac:dyDescent="0.25">
      <c r="A87" s="23"/>
    </row>
    <row r="88" spans="1:1" s="29" customFormat="1" x14ac:dyDescent="0.25">
      <c r="A88" s="23"/>
    </row>
    <row r="89" spans="1:1" s="29" customFormat="1" x14ac:dyDescent="0.25">
      <c r="A89" s="23"/>
    </row>
    <row r="90" spans="1:1" s="29" customFormat="1" x14ac:dyDescent="0.25">
      <c r="A90" s="23"/>
    </row>
    <row r="91" spans="1:1" s="29" customFormat="1" x14ac:dyDescent="0.25">
      <c r="A91" s="23"/>
    </row>
    <row r="92" spans="1:1" s="29" customFormat="1" x14ac:dyDescent="0.25">
      <c r="A92" s="23"/>
    </row>
    <row r="93" spans="1:1" s="29" customFormat="1" x14ac:dyDescent="0.25">
      <c r="A93" s="23"/>
    </row>
    <row r="94" spans="1:1" s="29" customFormat="1" x14ac:dyDescent="0.25">
      <c r="A94" s="23"/>
    </row>
    <row r="95" spans="1:1" s="29" customFormat="1" x14ac:dyDescent="0.25">
      <c r="A95" s="23"/>
    </row>
    <row r="96" spans="1:1" s="29" customFormat="1" x14ac:dyDescent="0.25">
      <c r="A96" s="23"/>
    </row>
    <row r="97" spans="1:1" s="29" customFormat="1" x14ac:dyDescent="0.25">
      <c r="A97" s="23"/>
    </row>
    <row r="98" spans="1:1" s="29" customFormat="1" x14ac:dyDescent="0.25">
      <c r="A98" s="23"/>
    </row>
    <row r="99" spans="1:1" s="29" customFormat="1" x14ac:dyDescent="0.25">
      <c r="A99" s="23"/>
    </row>
    <row r="100" spans="1:1" s="29" customFormat="1" x14ac:dyDescent="0.25">
      <c r="A100" s="23"/>
    </row>
    <row r="101" spans="1:1" s="29" customFormat="1" x14ac:dyDescent="0.25">
      <c r="A101" s="23"/>
    </row>
    <row r="102" spans="1:1" s="29" customFormat="1" x14ac:dyDescent="0.25">
      <c r="A102" s="23"/>
    </row>
    <row r="103" spans="1:1" s="29" customFormat="1" x14ac:dyDescent="0.25">
      <c r="A103" s="23"/>
    </row>
    <row r="104" spans="1:1" s="29" customFormat="1" x14ac:dyDescent="0.25">
      <c r="A104" s="23"/>
    </row>
    <row r="105" spans="1:1" s="29" customFormat="1" x14ac:dyDescent="0.25">
      <c r="A105" s="23"/>
    </row>
    <row r="106" spans="1:1" s="29" customFormat="1" x14ac:dyDescent="0.25">
      <c r="A106" s="23"/>
    </row>
    <row r="107" spans="1:1" s="29" customFormat="1" x14ac:dyDescent="0.25">
      <c r="A107" s="23"/>
    </row>
    <row r="108" spans="1:1" s="29" customFormat="1" x14ac:dyDescent="0.25">
      <c r="A108" s="23"/>
    </row>
    <row r="109" spans="1:1" s="29" customFormat="1" x14ac:dyDescent="0.25">
      <c r="A109" s="23"/>
    </row>
    <row r="110" spans="1:1" s="29" customFormat="1" x14ac:dyDescent="0.25">
      <c r="A110" s="23"/>
    </row>
    <row r="111" spans="1:1" s="29" customFormat="1" x14ac:dyDescent="0.25">
      <c r="A111" s="23"/>
    </row>
    <row r="112" spans="1:1" s="29" customFormat="1" x14ac:dyDescent="0.25">
      <c r="A112" s="23"/>
    </row>
    <row r="113" spans="1:1" s="29" customFormat="1" x14ac:dyDescent="0.25">
      <c r="A113" s="23"/>
    </row>
    <row r="114" spans="1:1" s="29" customFormat="1" x14ac:dyDescent="0.25">
      <c r="A114" s="23"/>
    </row>
    <row r="115" spans="1:1" s="29" customFormat="1" x14ac:dyDescent="0.25">
      <c r="A115" s="23"/>
    </row>
    <row r="116" spans="1:1" s="29" customFormat="1" x14ac:dyDescent="0.25">
      <c r="A116" s="23"/>
    </row>
    <row r="117" spans="1:1" s="29" customFormat="1" x14ac:dyDescent="0.25">
      <c r="A117" s="23"/>
    </row>
    <row r="118" spans="1:1" s="29" customFormat="1" x14ac:dyDescent="0.25">
      <c r="A118" s="23"/>
    </row>
    <row r="119" spans="1:1" s="29" customFormat="1" x14ac:dyDescent="0.25">
      <c r="A119" s="23"/>
    </row>
    <row r="120" spans="1:1" s="29" customFormat="1" x14ac:dyDescent="0.25">
      <c r="A120" s="23"/>
    </row>
    <row r="121" spans="1:1" s="29" customFormat="1" x14ac:dyDescent="0.25">
      <c r="A121" s="23"/>
    </row>
    <row r="122" spans="1:1" s="29" customFormat="1" x14ac:dyDescent="0.25">
      <c r="A122" s="23"/>
    </row>
    <row r="123" spans="1:1" s="29" customFormat="1" x14ac:dyDescent="0.25">
      <c r="A123" s="23"/>
    </row>
    <row r="124" spans="1:1" s="29" customFormat="1" x14ac:dyDescent="0.25">
      <c r="A124" s="23"/>
    </row>
    <row r="125" spans="1:1" s="29" customFormat="1" x14ac:dyDescent="0.25">
      <c r="A125" s="23"/>
    </row>
    <row r="126" spans="1:1" s="29" customFormat="1" x14ac:dyDescent="0.25">
      <c r="A126" s="23"/>
    </row>
    <row r="127" spans="1:1" s="29" customFormat="1" x14ac:dyDescent="0.25">
      <c r="A127" s="23"/>
    </row>
    <row r="128" spans="1:1" s="29" customFormat="1" x14ac:dyDescent="0.25">
      <c r="A128" s="23"/>
    </row>
    <row r="129" spans="1:1" s="29" customFormat="1" x14ac:dyDescent="0.25">
      <c r="A129" s="23"/>
    </row>
    <row r="130" spans="1:1" s="29" customFormat="1" x14ac:dyDescent="0.25">
      <c r="A130" s="23"/>
    </row>
    <row r="131" spans="1:1" s="29" customFormat="1" x14ac:dyDescent="0.25">
      <c r="A131" s="23"/>
    </row>
    <row r="132" spans="1:1" s="29" customFormat="1" x14ac:dyDescent="0.25">
      <c r="A132" s="23"/>
    </row>
    <row r="133" spans="1:1" s="29" customFormat="1" x14ac:dyDescent="0.25">
      <c r="A133" s="23"/>
    </row>
    <row r="134" spans="1:1" s="29" customFormat="1" x14ac:dyDescent="0.25">
      <c r="A134" s="23"/>
    </row>
    <row r="135" spans="1:1" s="29" customFormat="1" x14ac:dyDescent="0.25">
      <c r="A135" s="23"/>
    </row>
    <row r="136" spans="1:1" s="29" customFormat="1" x14ac:dyDescent="0.25">
      <c r="A136" s="23"/>
    </row>
  </sheetData>
  <sheetProtection formatCells="0" formatColumns="0" formatRows="0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Nelson Martins</cp:lastModifiedBy>
  <dcterms:created xsi:type="dcterms:W3CDTF">2024-12-19T13:13:10Z</dcterms:created>
  <dcterms:modified xsi:type="dcterms:W3CDTF">2026-01-03T18:06:24Z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